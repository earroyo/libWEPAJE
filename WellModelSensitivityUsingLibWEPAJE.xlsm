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drawings/drawing9.xml" ContentType="application/vnd.openxmlformats-officedocument.drawingml.chartshapes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ml.chartshap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" yWindow="48" windowWidth="12144" windowHeight="5448" tabRatio="794" firstSheet="1" activeTab="1"/>
  </bookViews>
  <sheets>
    <sheet name="SensChanelWidth" sheetId="8" r:id="rId1"/>
    <sheet name="SensFracLenght" sheetId="7" r:id="rId2"/>
    <sheet name="SensDualPorosity" sheetId="6" r:id="rId3"/>
    <sheet name="SensArea" sheetId="4" r:id="rId4"/>
    <sheet name="SensSkin" sheetId="1" r:id="rId5"/>
    <sheet name="Sheet1" sheetId="9" r:id="rId6"/>
  </sheets>
  <functionGroups/>
  <definedNames>
    <definedName name="Bo" localSheetId="3">SensArea!$E$12:$Q$12</definedName>
    <definedName name="Bo" localSheetId="0">SensChanelWidth!$E$12:$Q$12</definedName>
    <definedName name="Bo" localSheetId="2">SensDualPorosity!$E$12:$Q$12</definedName>
    <definedName name="Bo" localSheetId="1">SensFracLenght!$E$12:$Q$12</definedName>
    <definedName name="Bo">SensSkin!$E$12:$Q$12</definedName>
    <definedName name="Cd" localSheetId="3">SensArea!$E$21:$Q$21</definedName>
    <definedName name="Cd" localSheetId="0">SensChanelWidth!$E$21:$Q$21</definedName>
    <definedName name="Cd" localSheetId="2">SensDualPorosity!$E$21:$Q$21</definedName>
    <definedName name="Cd" localSheetId="1">SensFracLenght!$E$21:$Q$21</definedName>
    <definedName name="Cd">SensSkin!$E$21:$Q$21</definedName>
    <definedName name="ct" localSheetId="3">SensArea!$E$11:$Q$11</definedName>
    <definedName name="ct" localSheetId="0">SensChanelWidth!$E$11:$Q$11</definedName>
    <definedName name="ct" localSheetId="2">SensDualPorosity!$E$11:$Q$11</definedName>
    <definedName name="ct" localSheetId="1">SensFracLenght!$E$11:$Q$11</definedName>
    <definedName name="ct">SensSkin!$E$11:$Q$11</definedName>
    <definedName name="h" localSheetId="3">SensArea!$E$13:$Q$13</definedName>
    <definedName name="h" localSheetId="0">SensChanelWidth!$E$13:$Q$13</definedName>
    <definedName name="h" localSheetId="2">SensDualPorosity!$E$13:$Q$13</definedName>
    <definedName name="h" localSheetId="1">SensFracLenght!$E$13:$Q$13</definedName>
    <definedName name="h">SensSkin!$E$13:$Q$13</definedName>
    <definedName name="k" localSheetId="3">SensArea!$E$8:$Q$8</definedName>
    <definedName name="k" localSheetId="0">SensChanelWidth!$E$8:$Q$8</definedName>
    <definedName name="k" localSheetId="2">SensDualPorosity!$E$8:$Q$8</definedName>
    <definedName name="k" localSheetId="1">SensFracLenght!$E$8:$Q$8</definedName>
    <definedName name="k">SensSkin!$E$8:$Q$8</definedName>
    <definedName name="lambda" localSheetId="3">SensArea!$E$23:$Q$23</definedName>
    <definedName name="lambda" localSheetId="0">SensChanelWidth!$E$23:$Q$23</definedName>
    <definedName name="lambda" localSheetId="2">SensDualPorosity!$E$23:$Q$23</definedName>
    <definedName name="lambda" localSheetId="1">SensFracLenght!$E$23:$Q$23</definedName>
    <definedName name="lambda">SensSkin!$E$23:$Q$23</definedName>
    <definedName name="nu" localSheetId="3">SensArea!$E$10:$Q$10</definedName>
    <definedName name="nu" localSheetId="0">SensChanelWidth!$E$10:$Q$10</definedName>
    <definedName name="nu" localSheetId="2">SensDualPorosity!$E$10:$Q$10</definedName>
    <definedName name="nu" localSheetId="1">SensFracLenght!$E$10:$Q$10</definedName>
    <definedName name="nu">SensSkin!$E$10:$Q$10</definedName>
    <definedName name="omega" localSheetId="3">SensArea!$E$22:$Q$22</definedName>
    <definedName name="omega" localSheetId="0">SensChanelWidth!$E$22:$Q$22</definedName>
    <definedName name="omega" localSheetId="2">SensDualPorosity!$E$22:$Q$22</definedName>
    <definedName name="omega" localSheetId="1">SensFracLenght!$E$22:$Q$22</definedName>
    <definedName name="omega">SensSkin!$E$22:$Q$22</definedName>
    <definedName name="phi" localSheetId="3">SensArea!$E$9:$Q$9</definedName>
    <definedName name="phi" localSheetId="0">SensChanelWidth!$E$9:$Q$9</definedName>
    <definedName name="phi" localSheetId="2">SensDualPorosity!$E$9:$Q$9</definedName>
    <definedName name="phi" localSheetId="1">SensFracLenght!$E$9:$Q$9</definedName>
    <definedName name="phi">SensSkin!$E$9:$Q$9</definedName>
    <definedName name="Pi" localSheetId="3">SensArea!$E$6:$Q$6</definedName>
    <definedName name="Pi" localSheetId="0">SensChanelWidth!$E$6:$Q$6</definedName>
    <definedName name="Pi" localSheetId="2">SensDualPorosity!$E$6:$Q$6</definedName>
    <definedName name="Pi" localSheetId="1">SensFracLenght!$E$6:$Q$6</definedName>
    <definedName name="Pi">SensSkin!$E$6:$Q$6</definedName>
    <definedName name="Pwf" localSheetId="3">SensArea!$E$7:$Q$7</definedName>
    <definedName name="Pwf" localSheetId="0">SensChanelWidth!$E$7:$Q$7</definedName>
    <definedName name="Pwf" localSheetId="2">SensDualPorosity!$E$7:$Q$7</definedName>
    <definedName name="Pwf" localSheetId="1">SensFracLenght!$E$7:$Q$7</definedName>
    <definedName name="Pwf">SensSkin!$E$7:$Q$7</definedName>
    <definedName name="Skin" localSheetId="3">SensArea!$E$20:$Q$20</definedName>
    <definedName name="Skin" localSheetId="0">SensChanelWidth!$E$20:$Q$20</definedName>
    <definedName name="Skin" localSheetId="2">SensDualPorosity!$E$20:$Q$20</definedName>
    <definedName name="Skin" localSheetId="1">SensFracLenght!$E$20:$Q$20</definedName>
    <definedName name="Skin">SensSkin!$E$20:$Q$20</definedName>
    <definedName name="Xe" localSheetId="3">SensArea!$E$16:$Q$16</definedName>
    <definedName name="Xe" localSheetId="0">SensChanelWidth!$E$16:$Q$16</definedName>
    <definedName name="Xe" localSheetId="2">SensDualPorosity!$E$16:$Q$16</definedName>
    <definedName name="Xe" localSheetId="1">SensFracLenght!$E$16:$Q$16</definedName>
    <definedName name="Xe">SensSkin!$E$16:$Q$16</definedName>
    <definedName name="xf" localSheetId="3">SensArea!$E$15:$Q$15</definedName>
    <definedName name="xf" localSheetId="0">SensChanelWidth!$E$15:$Q$15</definedName>
    <definedName name="xf" localSheetId="2">SensDualPorosity!$E$15:$Q$15</definedName>
    <definedName name="xf" localSheetId="1">SensFracLenght!$E$15:$Q$15</definedName>
    <definedName name="xf">SensSkin!$E$15:$Q$15</definedName>
    <definedName name="Xw" localSheetId="3">SensArea!$E$18:$Q$18</definedName>
    <definedName name="Xw" localSheetId="0">SensChanelWidth!$E$18:$Q$18</definedName>
    <definedName name="Xw" localSheetId="2">SensDualPorosity!$E$18:$Q$18</definedName>
    <definedName name="Xw" localSheetId="1">SensFracLenght!$E$18:$Q$18</definedName>
    <definedName name="Xw">SensSkin!$E$18:$Q$18</definedName>
    <definedName name="Ye" localSheetId="3">SensArea!$E$17:$Q$17</definedName>
    <definedName name="Ye" localSheetId="0">SensChanelWidth!$E$17:$Q$17</definedName>
    <definedName name="Ye" localSheetId="2">SensDualPorosity!$E$17:$Q$17</definedName>
    <definedName name="Ye" localSheetId="1">SensFracLenght!$E$17:$Q$17</definedName>
    <definedName name="Ye">SensSkin!$E$17:$Q$17</definedName>
    <definedName name="Yw" localSheetId="3">SensArea!$E$19:$Q$19</definedName>
    <definedName name="Yw" localSheetId="0">SensChanelWidth!$E$19:$Q$19</definedName>
    <definedName name="Yw" localSheetId="2">SensDualPorosity!$E$19:$Q$19</definedName>
    <definedName name="Yw" localSheetId="1">SensFracLenght!$E$19:$Q$19</definedName>
    <definedName name="Yw">SensSkin!$E$19:$Q$19</definedName>
  </definedNames>
  <calcPr calcId="125725"/>
</workbook>
</file>

<file path=xl/calcChain.xml><?xml version="1.0" encoding="utf-8"?>
<calcChain xmlns="http://schemas.openxmlformats.org/spreadsheetml/2006/main">
  <c r="E19" i="7"/>
  <c r="E17"/>
  <c r="P26"/>
  <c r="P42" s="1"/>
  <c r="O42"/>
  <c r="N27"/>
  <c r="M28"/>
  <c r="N28" s="1"/>
  <c r="N44"/>
  <c r="O43"/>
  <c r="P43" l="1"/>
  <c r="Q26"/>
  <c r="Q42" s="1"/>
  <c r="N45"/>
  <c r="M29"/>
  <c r="M25"/>
  <c r="C25"/>
  <c r="H6" i="9"/>
  <c r="H10" s="1"/>
  <c r="H5"/>
  <c r="H9" s="1"/>
  <c r="G6"/>
  <c r="G10" s="1"/>
  <c r="G5"/>
  <c r="F6"/>
  <c r="F10" s="1"/>
  <c r="F5"/>
  <c r="E6"/>
  <c r="E10" s="1"/>
  <c r="E5"/>
  <c r="Q43" i="7" l="1"/>
  <c r="R26"/>
  <c r="R42" s="1"/>
  <c r="M30"/>
  <c r="N29"/>
  <c r="H7" i="9"/>
  <c r="H11" s="1"/>
  <c r="H8"/>
  <c r="H12" s="1"/>
  <c r="G7"/>
  <c r="G11" s="1"/>
  <c r="G8"/>
  <c r="G12" s="1"/>
  <c r="F7"/>
  <c r="F11" s="1"/>
  <c r="F8"/>
  <c r="F12" s="1"/>
  <c r="E7"/>
  <c r="E11" s="1"/>
  <c r="E8"/>
  <c r="E12" s="1"/>
  <c r="D12"/>
  <c r="D11"/>
  <c r="D10"/>
  <c r="D8"/>
  <c r="D7"/>
  <c r="D5"/>
  <c r="D6"/>
  <c r="C26"/>
  <c r="B27"/>
  <c r="B28" s="1"/>
  <c r="B29" s="1"/>
  <c r="D27" i="8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1001"/>
  <c r="D1002"/>
  <c r="D1003"/>
  <c r="D1004"/>
  <c r="D1005"/>
  <c r="D1006"/>
  <c r="D1007"/>
  <c r="D1008"/>
  <c r="D1009"/>
  <c r="D1010"/>
  <c r="D1011"/>
  <c r="D1012"/>
  <c r="D1013"/>
  <c r="D1014"/>
  <c r="D1015"/>
  <c r="D1016"/>
  <c r="D1017"/>
  <c r="D1018"/>
  <c r="D1019"/>
  <c r="D1020"/>
  <c r="D1021"/>
  <c r="D1022"/>
  <c r="D1023"/>
  <c r="D1024"/>
  <c r="D1025"/>
  <c r="D1026"/>
  <c r="D1027"/>
  <c r="D1028"/>
  <c r="D1029"/>
  <c r="D1030"/>
  <c r="D1031"/>
  <c r="D1032"/>
  <c r="D1033"/>
  <c r="D1034"/>
  <c r="D1035"/>
  <c r="D1036"/>
  <c r="D1037"/>
  <c r="D1038"/>
  <c r="D1039"/>
  <c r="D1040"/>
  <c r="D1041"/>
  <c r="D1042"/>
  <c r="D1043"/>
  <c r="D1044"/>
  <c r="D1045"/>
  <c r="D1046"/>
  <c r="D1047"/>
  <c r="D1048"/>
  <c r="D1049"/>
  <c r="D1050"/>
  <c r="D1051"/>
  <c r="D1052"/>
  <c r="D1053"/>
  <c r="D1054"/>
  <c r="D1055"/>
  <c r="D1056"/>
  <c r="D1057"/>
  <c r="D1058"/>
  <c r="D1059"/>
  <c r="D1060"/>
  <c r="D1061"/>
  <c r="D1062"/>
  <c r="D1063"/>
  <c r="D1064"/>
  <c r="D1065"/>
  <c r="D1066"/>
  <c r="D1067"/>
  <c r="D1068"/>
  <c r="D1069"/>
  <c r="D1070"/>
  <c r="D1071"/>
  <c r="D1072"/>
  <c r="D1073"/>
  <c r="D1074"/>
  <c r="D1075"/>
  <c r="D1076"/>
  <c r="D1077"/>
  <c r="D1078"/>
  <c r="D1079"/>
  <c r="D1080"/>
  <c r="D1081"/>
  <c r="D1082"/>
  <c r="D1083"/>
  <c r="D1084"/>
  <c r="D1085"/>
  <c r="D1086"/>
  <c r="D1087"/>
  <c r="D1088"/>
  <c r="D1089"/>
  <c r="D1090"/>
  <c r="D1091"/>
  <c r="D1092"/>
  <c r="D1093"/>
  <c r="D1094"/>
  <c r="D1095"/>
  <c r="D1096"/>
  <c r="D1097"/>
  <c r="D1098"/>
  <c r="D1099"/>
  <c r="D1100"/>
  <c r="D1101"/>
  <c r="D1102"/>
  <c r="D1103"/>
  <c r="D1104"/>
  <c r="D1105"/>
  <c r="D1106"/>
  <c r="D1107"/>
  <c r="D1108"/>
  <c r="D1109"/>
  <c r="D1110"/>
  <c r="D1111"/>
  <c r="D1112"/>
  <c r="D1113"/>
  <c r="D1114"/>
  <c r="D1115"/>
  <c r="D1116"/>
  <c r="D1117"/>
  <c r="D1118"/>
  <c r="D1119"/>
  <c r="D1120"/>
  <c r="D1121"/>
  <c r="D1122"/>
  <c r="D1123"/>
  <c r="D1124"/>
  <c r="D1125"/>
  <c r="D1126"/>
  <c r="D1127"/>
  <c r="D1128"/>
  <c r="D1129"/>
  <c r="D1130"/>
  <c r="D1131"/>
  <c r="D1132"/>
  <c r="D1133"/>
  <c r="D1134"/>
  <c r="D1135"/>
  <c r="D1136"/>
  <c r="D26"/>
  <c r="A26"/>
  <c r="K19"/>
  <c r="J19"/>
  <c r="I19"/>
  <c r="H19"/>
  <c r="G19"/>
  <c r="F19"/>
  <c r="E19"/>
  <c r="K17"/>
  <c r="J17"/>
  <c r="I17"/>
  <c r="H17"/>
  <c r="G17"/>
  <c r="F17"/>
  <c r="K5"/>
  <c r="J5"/>
  <c r="J16" s="1"/>
  <c r="I5"/>
  <c r="H5"/>
  <c r="H16" s="1"/>
  <c r="G5"/>
  <c r="F5"/>
  <c r="F16" s="1"/>
  <c r="E5"/>
  <c r="K1"/>
  <c r="J1"/>
  <c r="B27"/>
  <c r="B28" s="1"/>
  <c r="C26"/>
  <c r="E24"/>
  <c r="F23"/>
  <c r="G23" s="1"/>
  <c r="H23" s="1"/>
  <c r="I23" s="1"/>
  <c r="J23" s="1"/>
  <c r="K23" s="1"/>
  <c r="F22"/>
  <c r="G22" s="1"/>
  <c r="H22" s="1"/>
  <c r="I22" s="1"/>
  <c r="J22" s="1"/>
  <c r="K22" s="1"/>
  <c r="F21"/>
  <c r="G21" s="1"/>
  <c r="H21" s="1"/>
  <c r="I21" s="1"/>
  <c r="J21" s="1"/>
  <c r="K21" s="1"/>
  <c r="F20"/>
  <c r="G20" s="1"/>
  <c r="H20" s="1"/>
  <c r="I20" s="1"/>
  <c r="J20" s="1"/>
  <c r="K20" s="1"/>
  <c r="F14"/>
  <c r="F24" s="1"/>
  <c r="F13"/>
  <c r="G13" s="1"/>
  <c r="H13" s="1"/>
  <c r="I13" s="1"/>
  <c r="J13" s="1"/>
  <c r="K13" s="1"/>
  <c r="G12"/>
  <c r="H12" s="1"/>
  <c r="I12" s="1"/>
  <c r="J12" s="1"/>
  <c r="K12" s="1"/>
  <c r="F12"/>
  <c r="G11"/>
  <c r="H11" s="1"/>
  <c r="I11" s="1"/>
  <c r="J11" s="1"/>
  <c r="K11" s="1"/>
  <c r="F11"/>
  <c r="F10"/>
  <c r="G10" s="1"/>
  <c r="H10" s="1"/>
  <c r="I10" s="1"/>
  <c r="J10" s="1"/>
  <c r="K10" s="1"/>
  <c r="Z9"/>
  <c r="AB10" s="1"/>
  <c r="F9"/>
  <c r="G9" s="1"/>
  <c r="H9" s="1"/>
  <c r="I9" s="1"/>
  <c r="J9" s="1"/>
  <c r="K9" s="1"/>
  <c r="F7"/>
  <c r="G7" s="1"/>
  <c r="H7" s="1"/>
  <c r="I7" s="1"/>
  <c r="J7" s="1"/>
  <c r="K7" s="1"/>
  <c r="F6"/>
  <c r="G6" s="1"/>
  <c r="H6" s="1"/>
  <c r="I6" s="1"/>
  <c r="J6" s="1"/>
  <c r="K6" s="1"/>
  <c r="K16"/>
  <c r="I16"/>
  <c r="G16"/>
  <c r="C26" i="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B27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01" s="1"/>
  <c r="B102" s="1"/>
  <c r="B103" s="1"/>
  <c r="B104" s="1"/>
  <c r="B105" s="1"/>
  <c r="B106" s="1"/>
  <c r="A27"/>
  <c r="A26"/>
  <c r="E24"/>
  <c r="F21"/>
  <c r="G21" s="1"/>
  <c r="H21" s="1"/>
  <c r="I21" s="1"/>
  <c r="J21" s="1"/>
  <c r="K21" s="1"/>
  <c r="F19"/>
  <c r="G19" s="1"/>
  <c r="H19" s="1"/>
  <c r="I19" s="1"/>
  <c r="J19" s="1"/>
  <c r="K19" s="1"/>
  <c r="E18"/>
  <c r="F17"/>
  <c r="G17" s="1"/>
  <c r="H17" s="1"/>
  <c r="I17" s="1"/>
  <c r="J17" s="1"/>
  <c r="K17" s="1"/>
  <c r="F16"/>
  <c r="G16" s="1"/>
  <c r="E16"/>
  <c r="F14"/>
  <c r="F24" s="1"/>
  <c r="F13"/>
  <c r="G13" s="1"/>
  <c r="H13" s="1"/>
  <c r="I13" s="1"/>
  <c r="J13" s="1"/>
  <c r="K13" s="1"/>
  <c r="F12"/>
  <c r="G12" s="1"/>
  <c r="J12" s="1"/>
  <c r="K12" s="1"/>
  <c r="X11"/>
  <c r="X12" s="1"/>
  <c r="G11"/>
  <c r="H11" s="1"/>
  <c r="I11" s="1"/>
  <c r="J11" s="1"/>
  <c r="K11" s="1"/>
  <c r="F11"/>
  <c r="W10"/>
  <c r="W11" s="1"/>
  <c r="F10"/>
  <c r="G10" s="1"/>
  <c r="H10" s="1"/>
  <c r="I10" s="1"/>
  <c r="J10" s="1"/>
  <c r="K10" s="1"/>
  <c r="Z9"/>
  <c r="AB9" s="1"/>
  <c r="F9"/>
  <c r="G9" s="1"/>
  <c r="H9" s="1"/>
  <c r="I9" s="1"/>
  <c r="J9" s="1"/>
  <c r="K9" s="1"/>
  <c r="F7"/>
  <c r="G7" s="1"/>
  <c r="H7" s="1"/>
  <c r="I7" s="1"/>
  <c r="J7" s="1"/>
  <c r="K7" s="1"/>
  <c r="F6"/>
  <c r="G6" s="1"/>
  <c r="H6" s="1"/>
  <c r="I6" s="1"/>
  <c r="J6" s="1"/>
  <c r="K6" s="1"/>
  <c r="F3"/>
  <c r="F2" s="1"/>
  <c r="E3"/>
  <c r="E2" s="1"/>
  <c r="E1" s="1"/>
  <c r="X11" i="1"/>
  <c r="X12" s="1"/>
  <c r="W10"/>
  <c r="W11" s="1"/>
  <c r="Z9"/>
  <c r="AB10" s="1"/>
  <c r="W10" i="6"/>
  <c r="W11" s="1"/>
  <c r="X11" i="4"/>
  <c r="X12" s="1"/>
  <c r="W10"/>
  <c r="W11" s="1"/>
  <c r="Z9"/>
  <c r="AB10" s="1"/>
  <c r="Z9" i="6"/>
  <c r="AB10" s="1"/>
  <c r="X11"/>
  <c r="X12" s="1"/>
  <c r="O27" i="7"/>
  <c r="O28"/>
  <c r="O29"/>
  <c r="E25"/>
  <c r="E26" i="9"/>
  <c r="D26"/>
  <c r="G26"/>
  <c r="F26"/>
  <c r="E26" i="7" a="1"/>
  <c r="R43" l="1"/>
  <c r="S26"/>
  <c r="S43" s="1"/>
  <c r="N46"/>
  <c r="M31"/>
  <c r="N30"/>
  <c r="F18"/>
  <c r="C29" i="9"/>
  <c r="B30"/>
  <c r="C28"/>
  <c r="C27"/>
  <c r="F18" i="8"/>
  <c r="H18"/>
  <c r="J18"/>
  <c r="G18"/>
  <c r="I18"/>
  <c r="K18"/>
  <c r="B29"/>
  <c r="A28"/>
  <c r="X15" i="7"/>
  <c r="W16" s="1"/>
  <c r="AB9" i="8"/>
  <c r="G14"/>
  <c r="A27"/>
  <c r="AB10" i="7"/>
  <c r="E105"/>
  <c r="E103"/>
  <c r="E101"/>
  <c r="E99"/>
  <c r="E97"/>
  <c r="E95"/>
  <c r="E93"/>
  <c r="E91"/>
  <c r="E89"/>
  <c r="E87"/>
  <c r="E85"/>
  <c r="E83"/>
  <c r="E81"/>
  <c r="E79"/>
  <c r="E77"/>
  <c r="E75"/>
  <c r="E73"/>
  <c r="E71"/>
  <c r="E69"/>
  <c r="E67"/>
  <c r="E65"/>
  <c r="E63"/>
  <c r="E61"/>
  <c r="E59"/>
  <c r="E57"/>
  <c r="E55"/>
  <c r="E53"/>
  <c r="E51"/>
  <c r="E49"/>
  <c r="E47"/>
  <c r="E45"/>
  <c r="E43"/>
  <c r="E41"/>
  <c r="E39"/>
  <c r="E37"/>
  <c r="E35"/>
  <c r="E33"/>
  <c r="E31"/>
  <c r="E29"/>
  <c r="E27"/>
  <c r="E106"/>
  <c r="E104"/>
  <c r="E102"/>
  <c r="E100"/>
  <c r="E98"/>
  <c r="E96"/>
  <c r="E94"/>
  <c r="E92"/>
  <c r="E90"/>
  <c r="E88"/>
  <c r="E86"/>
  <c r="E84"/>
  <c r="E82"/>
  <c r="E80"/>
  <c r="E78"/>
  <c r="E76"/>
  <c r="E74"/>
  <c r="E72"/>
  <c r="E70"/>
  <c r="E68"/>
  <c r="E66"/>
  <c r="E64"/>
  <c r="E62"/>
  <c r="E60"/>
  <c r="E58"/>
  <c r="E56"/>
  <c r="E54"/>
  <c r="E52"/>
  <c r="E50"/>
  <c r="E48"/>
  <c r="E46"/>
  <c r="E44"/>
  <c r="E42"/>
  <c r="E40"/>
  <c r="E38"/>
  <c r="E36"/>
  <c r="E34"/>
  <c r="E32"/>
  <c r="E30"/>
  <c r="E28"/>
  <c r="E26"/>
  <c r="G3"/>
  <c r="G2" s="1"/>
  <c r="H16"/>
  <c r="F1"/>
  <c r="X15" i="1"/>
  <c r="W16" s="1"/>
  <c r="G14" i="7"/>
  <c r="AB9" i="1"/>
  <c r="X15" i="6"/>
  <c r="W16" s="1"/>
  <c r="X15" i="4"/>
  <c r="W16" s="1"/>
  <c r="AB9"/>
  <c r="AB9" i="6"/>
  <c r="P29" i="7"/>
  <c r="P28"/>
  <c r="P27"/>
  <c r="P30"/>
  <c r="O30"/>
  <c r="F26" a="1"/>
  <c r="F25"/>
  <c r="G27" i="9"/>
  <c r="F29"/>
  <c r="F28"/>
  <c r="G28"/>
  <c r="E27"/>
  <c r="G29"/>
  <c r="D29"/>
  <c r="F27"/>
  <c r="D28"/>
  <c r="E28"/>
  <c r="D27"/>
  <c r="E29"/>
  <c r="T26" i="7" l="1"/>
  <c r="T43" s="1"/>
  <c r="S42"/>
  <c r="U26"/>
  <c r="U42" s="1"/>
  <c r="N47"/>
  <c r="M32"/>
  <c r="N31"/>
  <c r="F103"/>
  <c r="F99"/>
  <c r="F95"/>
  <c r="F91"/>
  <c r="F87"/>
  <c r="F83"/>
  <c r="F79"/>
  <c r="F75"/>
  <c r="F71"/>
  <c r="F67"/>
  <c r="F63"/>
  <c r="F59"/>
  <c r="F55"/>
  <c r="F51"/>
  <c r="F47"/>
  <c r="F43"/>
  <c r="F39"/>
  <c r="F35"/>
  <c r="F31"/>
  <c r="F27"/>
  <c r="F104"/>
  <c r="F100"/>
  <c r="F96"/>
  <c r="F92"/>
  <c r="F88"/>
  <c r="F84"/>
  <c r="F80"/>
  <c r="F76"/>
  <c r="F72"/>
  <c r="F68"/>
  <c r="F64"/>
  <c r="F60"/>
  <c r="F56"/>
  <c r="F52"/>
  <c r="F48"/>
  <c r="F44"/>
  <c r="F40"/>
  <c r="F36"/>
  <c r="F32"/>
  <c r="F28"/>
  <c r="F105"/>
  <c r="F101"/>
  <c r="F97"/>
  <c r="F93"/>
  <c r="F89"/>
  <c r="F85"/>
  <c r="F81"/>
  <c r="F77"/>
  <c r="F73"/>
  <c r="F69"/>
  <c r="F65"/>
  <c r="F61"/>
  <c r="F57"/>
  <c r="F53"/>
  <c r="F49"/>
  <c r="F45"/>
  <c r="F41"/>
  <c r="F37"/>
  <c r="F33"/>
  <c r="F29"/>
  <c r="F106"/>
  <c r="F102"/>
  <c r="F98"/>
  <c r="F94"/>
  <c r="F90"/>
  <c r="F86"/>
  <c r="F82"/>
  <c r="F78"/>
  <c r="F74"/>
  <c r="F70"/>
  <c r="F66"/>
  <c r="F62"/>
  <c r="F58"/>
  <c r="F54"/>
  <c r="F50"/>
  <c r="F46"/>
  <c r="F42"/>
  <c r="F38"/>
  <c r="F34"/>
  <c r="F30"/>
  <c r="F26"/>
  <c r="G18"/>
  <c r="B31" i="9"/>
  <c r="C30"/>
  <c r="G24" i="8"/>
  <c r="H14"/>
  <c r="B30"/>
  <c r="A29"/>
  <c r="G24" i="7"/>
  <c r="G1" s="1"/>
  <c r="H14"/>
  <c r="I16"/>
  <c r="H3"/>
  <c r="H2" s="1"/>
  <c r="A106" i="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B27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01" s="1"/>
  <c r="B102" s="1"/>
  <c r="B103" s="1"/>
  <c r="B104" s="1"/>
  <c r="B105" s="1"/>
  <c r="B106" s="1"/>
  <c r="A27"/>
  <c r="C26"/>
  <c r="A26"/>
  <c r="E24"/>
  <c r="F21"/>
  <c r="G21" s="1"/>
  <c r="H21" s="1"/>
  <c r="I21" s="1"/>
  <c r="J21" s="1"/>
  <c r="K21" s="1"/>
  <c r="E19"/>
  <c r="F19" s="1"/>
  <c r="G19" s="1"/>
  <c r="H19" s="1"/>
  <c r="I19" s="1"/>
  <c r="J19" s="1"/>
  <c r="K19" s="1"/>
  <c r="E17"/>
  <c r="F17" s="1"/>
  <c r="F16"/>
  <c r="G16" s="1"/>
  <c r="E16"/>
  <c r="E18" s="1"/>
  <c r="F14"/>
  <c r="F24" s="1"/>
  <c r="F13"/>
  <c r="G13" s="1"/>
  <c r="H13" s="1"/>
  <c r="I13" s="1"/>
  <c r="J13" s="1"/>
  <c r="K13" s="1"/>
  <c r="F12"/>
  <c r="G12" s="1"/>
  <c r="H12" s="1"/>
  <c r="I12" s="1"/>
  <c r="J12" s="1"/>
  <c r="K12" s="1"/>
  <c r="F11"/>
  <c r="G11" s="1"/>
  <c r="H11" s="1"/>
  <c r="I11" s="1"/>
  <c r="J11" s="1"/>
  <c r="K11" s="1"/>
  <c r="F10"/>
  <c r="G10" s="1"/>
  <c r="H10" s="1"/>
  <c r="I10" s="1"/>
  <c r="J10" s="1"/>
  <c r="K10" s="1"/>
  <c r="F9"/>
  <c r="G9" s="1"/>
  <c r="H9" s="1"/>
  <c r="I9" s="1"/>
  <c r="J9" s="1"/>
  <c r="K9" s="1"/>
  <c r="F7"/>
  <c r="G7" s="1"/>
  <c r="H7" s="1"/>
  <c r="I7" s="1"/>
  <c r="J7" s="1"/>
  <c r="K7" s="1"/>
  <c r="F6"/>
  <c r="G6" s="1"/>
  <c r="H6" s="1"/>
  <c r="I6" s="1"/>
  <c r="J6" s="1"/>
  <c r="K6" s="1"/>
  <c r="E3"/>
  <c r="E2"/>
  <c r="D27" i="4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26"/>
  <c r="C26"/>
  <c r="K1" i="1"/>
  <c r="J1"/>
  <c r="I1"/>
  <c r="H1"/>
  <c r="G1"/>
  <c r="F1"/>
  <c r="E1"/>
  <c r="K2"/>
  <c r="J2"/>
  <c r="I2"/>
  <c r="H2"/>
  <c r="G2"/>
  <c r="F2"/>
  <c r="E2"/>
  <c r="K2" i="4"/>
  <c r="J2"/>
  <c r="I2"/>
  <c r="H2"/>
  <c r="G2"/>
  <c r="F2"/>
  <c r="E2"/>
  <c r="K3" i="1"/>
  <c r="J3"/>
  <c r="I3"/>
  <c r="H3"/>
  <c r="G3"/>
  <c r="F3"/>
  <c r="E3"/>
  <c r="I18" i="4"/>
  <c r="H18"/>
  <c r="F18"/>
  <c r="H3"/>
  <c r="F3"/>
  <c r="H16"/>
  <c r="F16"/>
  <c r="E16"/>
  <c r="K5"/>
  <c r="K16" s="1"/>
  <c r="J5"/>
  <c r="J16" s="1"/>
  <c r="I5"/>
  <c r="I16" s="1"/>
  <c r="I3" s="1"/>
  <c r="H5"/>
  <c r="G5"/>
  <c r="G16" s="1"/>
  <c r="G3" s="1"/>
  <c r="F5"/>
  <c r="E5"/>
  <c r="E3"/>
  <c r="F20"/>
  <c r="G20" s="1"/>
  <c r="H20" s="1"/>
  <c r="B27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01" s="1"/>
  <c r="B102" s="1"/>
  <c r="B103" s="1"/>
  <c r="B104" s="1"/>
  <c r="B105" s="1"/>
  <c r="B106" s="1"/>
  <c r="A106" s="1"/>
  <c r="A26"/>
  <c r="E24"/>
  <c r="E1" s="1"/>
  <c r="F23"/>
  <c r="G23" s="1"/>
  <c r="H23" s="1"/>
  <c r="I23" s="1"/>
  <c r="J23" s="1"/>
  <c r="K23" s="1"/>
  <c r="F22"/>
  <c r="G22" s="1"/>
  <c r="H22" s="1"/>
  <c r="I22" s="1"/>
  <c r="J22" s="1"/>
  <c r="K22" s="1"/>
  <c r="F21"/>
  <c r="G21" s="1"/>
  <c r="H21" s="1"/>
  <c r="I21" s="1"/>
  <c r="J21" s="1"/>
  <c r="K21" s="1"/>
  <c r="E19"/>
  <c r="F19" s="1"/>
  <c r="G19" s="1"/>
  <c r="H19" s="1"/>
  <c r="I19" s="1"/>
  <c r="J19" s="1"/>
  <c r="K19" s="1"/>
  <c r="E17"/>
  <c r="F17" s="1"/>
  <c r="G17" s="1"/>
  <c r="H17" s="1"/>
  <c r="I17" s="1"/>
  <c r="J17" s="1"/>
  <c r="K17" s="1"/>
  <c r="E18"/>
  <c r="F14"/>
  <c r="F24" s="1"/>
  <c r="F1" s="1"/>
  <c r="F13"/>
  <c r="G13" s="1"/>
  <c r="H13" s="1"/>
  <c r="I13" s="1"/>
  <c r="J13" s="1"/>
  <c r="K13" s="1"/>
  <c r="F12"/>
  <c r="G12" s="1"/>
  <c r="H12" s="1"/>
  <c r="I12" s="1"/>
  <c r="J12" s="1"/>
  <c r="K12" s="1"/>
  <c r="F11"/>
  <c r="G11" s="1"/>
  <c r="H11" s="1"/>
  <c r="I11" s="1"/>
  <c r="J11" s="1"/>
  <c r="K11" s="1"/>
  <c r="F10"/>
  <c r="G10" s="1"/>
  <c r="H10" s="1"/>
  <c r="I10" s="1"/>
  <c r="J10" s="1"/>
  <c r="K10" s="1"/>
  <c r="F9"/>
  <c r="G9" s="1"/>
  <c r="H9" s="1"/>
  <c r="I9" s="1"/>
  <c r="J9" s="1"/>
  <c r="K9" s="1"/>
  <c r="F7"/>
  <c r="G7" s="1"/>
  <c r="H7" s="1"/>
  <c r="I7" s="1"/>
  <c r="J7" s="1"/>
  <c r="K7" s="1"/>
  <c r="F6"/>
  <c r="G6" s="1"/>
  <c r="H6" s="1"/>
  <c r="I6" s="1"/>
  <c r="J6" s="1"/>
  <c r="K6" s="1"/>
  <c r="E16" i="1"/>
  <c r="Q30" i="7"/>
  <c r="Q29"/>
  <c r="Q28"/>
  <c r="Q27"/>
  <c r="Q31"/>
  <c r="P31"/>
  <c r="O31"/>
  <c r="G26" a="1"/>
  <c r="D30" i="9"/>
  <c r="E30"/>
  <c r="E26" i="6" a="1"/>
  <c r="G30" i="9"/>
  <c r="F30"/>
  <c r="G25" i="7"/>
  <c r="T42" l="1"/>
  <c r="U43"/>
  <c r="N48"/>
  <c r="M33"/>
  <c r="N32"/>
  <c r="G106"/>
  <c r="G102"/>
  <c r="G98"/>
  <c r="G94"/>
  <c r="G90"/>
  <c r="G86"/>
  <c r="G82"/>
  <c r="G101"/>
  <c r="G93"/>
  <c r="G85"/>
  <c r="G79"/>
  <c r="G75"/>
  <c r="G71"/>
  <c r="G67"/>
  <c r="G63"/>
  <c r="G59"/>
  <c r="G55"/>
  <c r="G51"/>
  <c r="G47"/>
  <c r="G43"/>
  <c r="G39"/>
  <c r="G35"/>
  <c r="G31"/>
  <c r="G27"/>
  <c r="G99"/>
  <c r="G91"/>
  <c r="G83"/>
  <c r="G78"/>
  <c r="G74"/>
  <c r="G70"/>
  <c r="G66"/>
  <c r="G62"/>
  <c r="G58"/>
  <c r="G54"/>
  <c r="G50"/>
  <c r="G46"/>
  <c r="G42"/>
  <c r="G38"/>
  <c r="G34"/>
  <c r="G30"/>
  <c r="G26"/>
  <c r="G104"/>
  <c r="G100"/>
  <c r="G96"/>
  <c r="G92"/>
  <c r="G88"/>
  <c r="G84"/>
  <c r="G105"/>
  <c r="G97"/>
  <c r="G89"/>
  <c r="G81"/>
  <c r="G77"/>
  <c r="G73"/>
  <c r="G69"/>
  <c r="G65"/>
  <c r="G61"/>
  <c r="G57"/>
  <c r="G53"/>
  <c r="G49"/>
  <c r="G45"/>
  <c r="G41"/>
  <c r="G37"/>
  <c r="G33"/>
  <c r="G29"/>
  <c r="G103"/>
  <c r="G95"/>
  <c r="G87"/>
  <c r="G80"/>
  <c r="G76"/>
  <c r="G72"/>
  <c r="G68"/>
  <c r="G64"/>
  <c r="G60"/>
  <c r="G56"/>
  <c r="G52"/>
  <c r="G48"/>
  <c r="G44"/>
  <c r="G40"/>
  <c r="G36"/>
  <c r="G32"/>
  <c r="G28"/>
  <c r="H18"/>
  <c r="Y9"/>
  <c r="B32" i="9"/>
  <c r="C31"/>
  <c r="B31" i="8"/>
  <c r="A30"/>
  <c r="H24"/>
  <c r="I14"/>
  <c r="I3" i="7"/>
  <c r="I2" s="1"/>
  <c r="J16"/>
  <c r="H24"/>
  <c r="I14"/>
  <c r="H1"/>
  <c r="F18" i="6"/>
  <c r="G18" s="1"/>
  <c r="H18" s="1"/>
  <c r="I18" s="1"/>
  <c r="J18" s="1"/>
  <c r="K18" s="1"/>
  <c r="Y9"/>
  <c r="E1"/>
  <c r="E106"/>
  <c r="E104"/>
  <c r="E102"/>
  <c r="E100"/>
  <c r="E98"/>
  <c r="E96"/>
  <c r="E94"/>
  <c r="E92"/>
  <c r="E90"/>
  <c r="E88"/>
  <c r="E86"/>
  <c r="E84"/>
  <c r="E82"/>
  <c r="E80"/>
  <c r="E78"/>
  <c r="E76"/>
  <c r="E74"/>
  <c r="E72"/>
  <c r="E70"/>
  <c r="E68"/>
  <c r="E66"/>
  <c r="E64"/>
  <c r="E62"/>
  <c r="E60"/>
  <c r="E58"/>
  <c r="E56"/>
  <c r="E54"/>
  <c r="E52"/>
  <c r="E50"/>
  <c r="E48"/>
  <c r="E46"/>
  <c r="E44"/>
  <c r="E42"/>
  <c r="E40"/>
  <c r="E38"/>
  <c r="E36"/>
  <c r="E34"/>
  <c r="E32"/>
  <c r="E30"/>
  <c r="E28"/>
  <c r="E26"/>
  <c r="E105"/>
  <c r="E103"/>
  <c r="E101"/>
  <c r="E99"/>
  <c r="E97"/>
  <c r="E95"/>
  <c r="E93"/>
  <c r="E91"/>
  <c r="E89"/>
  <c r="E87"/>
  <c r="E85"/>
  <c r="E83"/>
  <c r="E81"/>
  <c r="E79"/>
  <c r="E77"/>
  <c r="E75"/>
  <c r="E73"/>
  <c r="E71"/>
  <c r="E69"/>
  <c r="E67"/>
  <c r="E65"/>
  <c r="E63"/>
  <c r="E61"/>
  <c r="E59"/>
  <c r="E57"/>
  <c r="E55"/>
  <c r="E53"/>
  <c r="E51"/>
  <c r="E49"/>
  <c r="E47"/>
  <c r="E45"/>
  <c r="E43"/>
  <c r="E41"/>
  <c r="E39"/>
  <c r="E37"/>
  <c r="E35"/>
  <c r="E33"/>
  <c r="E31"/>
  <c r="E29"/>
  <c r="E27"/>
  <c r="H16"/>
  <c r="G17"/>
  <c r="G3" s="1"/>
  <c r="G2" s="1"/>
  <c r="F3"/>
  <c r="F2" s="1"/>
  <c r="F1" s="1"/>
  <c r="G14"/>
  <c r="I20" i="4"/>
  <c r="J20" s="1"/>
  <c r="K20" s="1"/>
  <c r="A103"/>
  <c r="A101"/>
  <c r="A99"/>
  <c r="A97"/>
  <c r="A95"/>
  <c r="A93"/>
  <c r="A91"/>
  <c r="A89"/>
  <c r="A87"/>
  <c r="A85"/>
  <c r="A83"/>
  <c r="A81"/>
  <c r="A79"/>
  <c r="A77"/>
  <c r="A75"/>
  <c r="A73"/>
  <c r="A71"/>
  <c r="A69"/>
  <c r="A67"/>
  <c r="A65"/>
  <c r="A63"/>
  <c r="A61"/>
  <c r="A59"/>
  <c r="A57"/>
  <c r="A55"/>
  <c r="A53"/>
  <c r="A51"/>
  <c r="A49"/>
  <c r="A47"/>
  <c r="A45"/>
  <c r="A43"/>
  <c r="A41"/>
  <c r="A39"/>
  <c r="A37"/>
  <c r="A35"/>
  <c r="A33"/>
  <c r="A31"/>
  <c r="A29"/>
  <c r="A27"/>
  <c r="A104"/>
  <c r="A102"/>
  <c r="A100"/>
  <c r="A98"/>
  <c r="A96"/>
  <c r="A94"/>
  <c r="A92"/>
  <c r="A90"/>
  <c r="A88"/>
  <c r="A86"/>
  <c r="A84"/>
  <c r="A82"/>
  <c r="A80"/>
  <c r="A78"/>
  <c r="A76"/>
  <c r="A74"/>
  <c r="A72"/>
  <c r="A70"/>
  <c r="A68"/>
  <c r="A66"/>
  <c r="A64"/>
  <c r="A62"/>
  <c r="A60"/>
  <c r="A58"/>
  <c r="A56"/>
  <c r="A54"/>
  <c r="A52"/>
  <c r="A50"/>
  <c r="A48"/>
  <c r="A46"/>
  <c r="A44"/>
  <c r="A42"/>
  <c r="A40"/>
  <c r="A38"/>
  <c r="A36"/>
  <c r="A34"/>
  <c r="A32"/>
  <c r="A30"/>
  <c r="A28"/>
  <c r="G18"/>
  <c r="Y9" s="1"/>
  <c r="J3"/>
  <c r="J18"/>
  <c r="K3"/>
  <c r="K18"/>
  <c r="G14"/>
  <c r="K15" i="1"/>
  <c r="J15"/>
  <c r="I15"/>
  <c r="H15"/>
  <c r="G15"/>
  <c r="F15"/>
  <c r="E15"/>
  <c r="C26"/>
  <c r="E18"/>
  <c r="R31" i="7"/>
  <c r="R30"/>
  <c r="R29"/>
  <c r="R28"/>
  <c r="R27"/>
  <c r="R32"/>
  <c r="Q32"/>
  <c r="P32"/>
  <c r="O32"/>
  <c r="F31" i="9"/>
  <c r="E26" i="4" a="1"/>
  <c r="E26" i="1" a="1"/>
  <c r="E31" i="9"/>
  <c r="F26" i="4" a="1"/>
  <c r="G31" i="9"/>
  <c r="F26" i="6" a="1"/>
  <c r="D31" i="9"/>
  <c r="N49" i="7" l="1"/>
  <c r="M34"/>
  <c r="N33"/>
  <c r="AA10"/>
  <c r="AA9"/>
  <c r="I18"/>
  <c r="B33" i="9"/>
  <c r="C32"/>
  <c r="B32" i="8"/>
  <c r="A31"/>
  <c r="I24"/>
  <c r="J14"/>
  <c r="I24" i="7"/>
  <c r="J14"/>
  <c r="K16"/>
  <c r="J3"/>
  <c r="J2" s="1"/>
  <c r="I1"/>
  <c r="AA9" i="4"/>
  <c r="AA10"/>
  <c r="AA10" i="6"/>
  <c r="AA9"/>
  <c r="F106"/>
  <c r="F104"/>
  <c r="F102"/>
  <c r="F100"/>
  <c r="F98"/>
  <c r="F96"/>
  <c r="F94"/>
  <c r="F92"/>
  <c r="F90"/>
  <c r="F88"/>
  <c r="F86"/>
  <c r="F84"/>
  <c r="F82"/>
  <c r="F80"/>
  <c r="F78"/>
  <c r="F76"/>
  <c r="F74"/>
  <c r="F72"/>
  <c r="F70"/>
  <c r="F68"/>
  <c r="F66"/>
  <c r="F64"/>
  <c r="F62"/>
  <c r="F60"/>
  <c r="F58"/>
  <c r="F56"/>
  <c r="F54"/>
  <c r="F52"/>
  <c r="F50"/>
  <c r="F48"/>
  <c r="F46"/>
  <c r="F44"/>
  <c r="F42"/>
  <c r="F40"/>
  <c r="F38"/>
  <c r="F36"/>
  <c r="F34"/>
  <c r="F32"/>
  <c r="F30"/>
  <c r="F28"/>
  <c r="F26"/>
  <c r="F105"/>
  <c r="F103"/>
  <c r="F101"/>
  <c r="F99"/>
  <c r="F97"/>
  <c r="F95"/>
  <c r="F93"/>
  <c r="F91"/>
  <c r="F89"/>
  <c r="F87"/>
  <c r="F85"/>
  <c r="F83"/>
  <c r="F81"/>
  <c r="F79"/>
  <c r="F77"/>
  <c r="F75"/>
  <c r="F73"/>
  <c r="F71"/>
  <c r="F69"/>
  <c r="F67"/>
  <c r="F65"/>
  <c r="F63"/>
  <c r="F61"/>
  <c r="F59"/>
  <c r="F57"/>
  <c r="F55"/>
  <c r="F53"/>
  <c r="F51"/>
  <c r="F49"/>
  <c r="F47"/>
  <c r="F45"/>
  <c r="F43"/>
  <c r="F41"/>
  <c r="F39"/>
  <c r="F37"/>
  <c r="F35"/>
  <c r="F33"/>
  <c r="F31"/>
  <c r="F29"/>
  <c r="F27"/>
  <c r="G24"/>
  <c r="G1" s="1"/>
  <c r="H14"/>
  <c r="H17"/>
  <c r="H3"/>
  <c r="H2" s="1"/>
  <c r="I16"/>
  <c r="E104" i="4"/>
  <c r="E100"/>
  <c r="E96"/>
  <c r="E92"/>
  <c r="E88"/>
  <c r="E84"/>
  <c r="E80"/>
  <c r="E76"/>
  <c r="E72"/>
  <c r="E68"/>
  <c r="E64"/>
  <c r="E60"/>
  <c r="E56"/>
  <c r="E52"/>
  <c r="E48"/>
  <c r="E44"/>
  <c r="E40"/>
  <c r="E36"/>
  <c r="E32"/>
  <c r="E28"/>
  <c r="E105"/>
  <c r="E101"/>
  <c r="E97"/>
  <c r="E93"/>
  <c r="E89"/>
  <c r="E85"/>
  <c r="E81"/>
  <c r="E77"/>
  <c r="E73"/>
  <c r="E69"/>
  <c r="E65"/>
  <c r="E61"/>
  <c r="E57"/>
  <c r="E53"/>
  <c r="E49"/>
  <c r="E45"/>
  <c r="E41"/>
  <c r="E37"/>
  <c r="E33"/>
  <c r="E29"/>
  <c r="E102"/>
  <c r="E98"/>
  <c r="E94"/>
  <c r="E90"/>
  <c r="E86"/>
  <c r="E82"/>
  <c r="E78"/>
  <c r="E74"/>
  <c r="E70"/>
  <c r="E66"/>
  <c r="E62"/>
  <c r="E58"/>
  <c r="E54"/>
  <c r="E50"/>
  <c r="E46"/>
  <c r="E42"/>
  <c r="E38"/>
  <c r="E34"/>
  <c r="E30"/>
  <c r="E26"/>
  <c r="E103"/>
  <c r="E99"/>
  <c r="E95"/>
  <c r="E91"/>
  <c r="E87"/>
  <c r="E83"/>
  <c r="E79"/>
  <c r="E75"/>
  <c r="E71"/>
  <c r="E67"/>
  <c r="E63"/>
  <c r="E59"/>
  <c r="E51"/>
  <c r="E47"/>
  <c r="E43"/>
  <c r="E39"/>
  <c r="E35"/>
  <c r="E31"/>
  <c r="E27"/>
  <c r="E106"/>
  <c r="E55"/>
  <c r="A105"/>
  <c r="F106"/>
  <c r="F104"/>
  <c r="F102"/>
  <c r="F100"/>
  <c r="F98"/>
  <c r="F96"/>
  <c r="F94"/>
  <c r="F92"/>
  <c r="F90"/>
  <c r="F88"/>
  <c r="F86"/>
  <c r="F84"/>
  <c r="F82"/>
  <c r="F80"/>
  <c r="F78"/>
  <c r="F76"/>
  <c r="F74"/>
  <c r="F72"/>
  <c r="F70"/>
  <c r="F68"/>
  <c r="F66"/>
  <c r="F64"/>
  <c r="F62"/>
  <c r="F60"/>
  <c r="F58"/>
  <c r="F56"/>
  <c r="F54"/>
  <c r="F52"/>
  <c r="F50"/>
  <c r="F48"/>
  <c r="F46"/>
  <c r="F44"/>
  <c r="F42"/>
  <c r="F40"/>
  <c r="F38"/>
  <c r="F36"/>
  <c r="F34"/>
  <c r="F32"/>
  <c r="F30"/>
  <c r="F28"/>
  <c r="F26"/>
  <c r="F105"/>
  <c r="F103"/>
  <c r="F101"/>
  <c r="F99"/>
  <c r="F97"/>
  <c r="F95"/>
  <c r="F93"/>
  <c r="F91"/>
  <c r="F89"/>
  <c r="F87"/>
  <c r="F85"/>
  <c r="F83"/>
  <c r="F81"/>
  <c r="F79"/>
  <c r="F77"/>
  <c r="F75"/>
  <c r="F73"/>
  <c r="F71"/>
  <c r="F69"/>
  <c r="F67"/>
  <c r="F65"/>
  <c r="F63"/>
  <c r="F61"/>
  <c r="F59"/>
  <c r="F57"/>
  <c r="F55"/>
  <c r="F53"/>
  <c r="F51"/>
  <c r="F49"/>
  <c r="F47"/>
  <c r="F45"/>
  <c r="F43"/>
  <c r="F41"/>
  <c r="F39"/>
  <c r="F37"/>
  <c r="F35"/>
  <c r="F33"/>
  <c r="F31"/>
  <c r="F29"/>
  <c r="F27"/>
  <c r="G24"/>
  <c r="G1" s="1"/>
  <c r="H14"/>
  <c r="E26" i="1"/>
  <c r="E28"/>
  <c r="E30"/>
  <c r="E32"/>
  <c r="E34"/>
  <c r="E36"/>
  <c r="E38"/>
  <c r="E40"/>
  <c r="E42"/>
  <c r="E44"/>
  <c r="E46"/>
  <c r="E48"/>
  <c r="E50"/>
  <c r="E52"/>
  <c r="E54"/>
  <c r="E56"/>
  <c r="E58"/>
  <c r="E60"/>
  <c r="E62"/>
  <c r="E64"/>
  <c r="E66"/>
  <c r="E68"/>
  <c r="E70"/>
  <c r="E72"/>
  <c r="E74"/>
  <c r="E76"/>
  <c r="E78"/>
  <c r="E80"/>
  <c r="E82"/>
  <c r="E84"/>
  <c r="E86"/>
  <c r="E88"/>
  <c r="E90"/>
  <c r="E92"/>
  <c r="E94"/>
  <c r="E96"/>
  <c r="E98"/>
  <c r="E100"/>
  <c r="E102"/>
  <c r="E104"/>
  <c r="E106"/>
  <c r="E27"/>
  <c r="E29"/>
  <c r="E31"/>
  <c r="E33"/>
  <c r="E35"/>
  <c r="E37"/>
  <c r="E39"/>
  <c r="E41"/>
  <c r="E43"/>
  <c r="E45"/>
  <c r="E47"/>
  <c r="E49"/>
  <c r="E51"/>
  <c r="E53"/>
  <c r="E55"/>
  <c r="E57"/>
  <c r="E59"/>
  <c r="E61"/>
  <c r="E63"/>
  <c r="E65"/>
  <c r="E67"/>
  <c r="E69"/>
  <c r="E71"/>
  <c r="E73"/>
  <c r="E75"/>
  <c r="E77"/>
  <c r="E79"/>
  <c r="E81"/>
  <c r="E83"/>
  <c r="E85"/>
  <c r="E87"/>
  <c r="E89"/>
  <c r="E91"/>
  <c r="E93"/>
  <c r="E95"/>
  <c r="E97"/>
  <c r="E99"/>
  <c r="E101"/>
  <c r="E103"/>
  <c r="E105"/>
  <c r="F14"/>
  <c r="G14" s="1"/>
  <c r="H14" s="1"/>
  <c r="I14" s="1"/>
  <c r="J14" s="1"/>
  <c r="K14" s="1"/>
  <c r="K20"/>
  <c r="J20"/>
  <c r="I20"/>
  <c r="H20"/>
  <c r="G20"/>
  <c r="F20"/>
  <c r="E20"/>
  <c r="E24" s="1"/>
  <c r="F7"/>
  <c r="G7" s="1"/>
  <c r="H7" s="1"/>
  <c r="I7" s="1"/>
  <c r="J7" s="1"/>
  <c r="K7" s="1"/>
  <c r="F23"/>
  <c r="G23" s="1"/>
  <c r="H23" s="1"/>
  <c r="I23" s="1"/>
  <c r="J23" s="1"/>
  <c r="K23" s="1"/>
  <c r="F22"/>
  <c r="G22" s="1"/>
  <c r="H22" s="1"/>
  <c r="I22" s="1"/>
  <c r="J22" s="1"/>
  <c r="K22" s="1"/>
  <c r="F21"/>
  <c r="G21" s="1"/>
  <c r="H21" s="1"/>
  <c r="I21" s="1"/>
  <c r="J21" s="1"/>
  <c r="K21" s="1"/>
  <c r="F19"/>
  <c r="G19" s="1"/>
  <c r="H19" s="1"/>
  <c r="I19" s="1"/>
  <c r="J19" s="1"/>
  <c r="K19" s="1"/>
  <c r="F18"/>
  <c r="F17"/>
  <c r="G17" s="1"/>
  <c r="H17" s="1"/>
  <c r="I17" s="1"/>
  <c r="J17" s="1"/>
  <c r="K17" s="1"/>
  <c r="F16"/>
  <c r="G16" s="1"/>
  <c r="H16" s="1"/>
  <c r="I16" s="1"/>
  <c r="J16" s="1"/>
  <c r="K16" s="1"/>
  <c r="F13"/>
  <c r="G13" s="1"/>
  <c r="H13" s="1"/>
  <c r="I13" s="1"/>
  <c r="J13" s="1"/>
  <c r="K13" s="1"/>
  <c r="F12"/>
  <c r="G12" s="1"/>
  <c r="H12" s="1"/>
  <c r="I12" s="1"/>
  <c r="J12" s="1"/>
  <c r="K12" s="1"/>
  <c r="F11"/>
  <c r="G11" s="1"/>
  <c r="H11" s="1"/>
  <c r="I11" s="1"/>
  <c r="J11" s="1"/>
  <c r="K11" s="1"/>
  <c r="F10"/>
  <c r="G10" s="1"/>
  <c r="H10" s="1"/>
  <c r="I10" s="1"/>
  <c r="J10" s="1"/>
  <c r="K10" s="1"/>
  <c r="E19"/>
  <c r="E17"/>
  <c r="F9"/>
  <c r="G9" s="1"/>
  <c r="H9" s="1"/>
  <c r="I9" s="1"/>
  <c r="J9" s="1"/>
  <c r="K9" s="1"/>
  <c r="F6"/>
  <c r="G6" s="1"/>
  <c r="H6" s="1"/>
  <c r="I6" s="1"/>
  <c r="J6" s="1"/>
  <c r="K6" s="1"/>
  <c r="A26"/>
  <c r="B27"/>
  <c r="B28" s="1"/>
  <c r="S32" i="7"/>
  <c r="S31"/>
  <c r="S27"/>
  <c r="S28"/>
  <c r="S29"/>
  <c r="S30"/>
  <c r="S33"/>
  <c r="R33"/>
  <c r="Q33"/>
  <c r="P33"/>
  <c r="O33"/>
  <c r="I26" a="1"/>
  <c r="G32" i="9"/>
  <c r="G26" i="6" a="1"/>
  <c r="G26" i="4" a="1"/>
  <c r="F32" i="9"/>
  <c r="F26" i="1" a="1"/>
  <c r="E32" i="9"/>
  <c r="D32"/>
  <c r="I25" i="7"/>
  <c r="M35" l="1"/>
  <c r="N34"/>
  <c r="N50"/>
  <c r="I103"/>
  <c r="I99"/>
  <c r="I95"/>
  <c r="I91"/>
  <c r="I87"/>
  <c r="I83"/>
  <c r="I79"/>
  <c r="I75"/>
  <c r="I71"/>
  <c r="I67"/>
  <c r="I63"/>
  <c r="I59"/>
  <c r="I55"/>
  <c r="I51"/>
  <c r="I47"/>
  <c r="I43"/>
  <c r="I39"/>
  <c r="I35"/>
  <c r="I31"/>
  <c r="I27"/>
  <c r="I104"/>
  <c r="I100"/>
  <c r="I96"/>
  <c r="I92"/>
  <c r="I88"/>
  <c r="I84"/>
  <c r="I80"/>
  <c r="I76"/>
  <c r="I72"/>
  <c r="I68"/>
  <c r="I64"/>
  <c r="I60"/>
  <c r="I56"/>
  <c r="I52"/>
  <c r="I48"/>
  <c r="I44"/>
  <c r="I40"/>
  <c r="I36"/>
  <c r="I32"/>
  <c r="I28"/>
  <c r="I105"/>
  <c r="I101"/>
  <c r="I97"/>
  <c r="I93"/>
  <c r="I89"/>
  <c r="I85"/>
  <c r="I81"/>
  <c r="I77"/>
  <c r="I73"/>
  <c r="I69"/>
  <c r="I65"/>
  <c r="I61"/>
  <c r="I57"/>
  <c r="I53"/>
  <c r="I49"/>
  <c r="I45"/>
  <c r="I41"/>
  <c r="I37"/>
  <c r="I33"/>
  <c r="I29"/>
  <c r="I106"/>
  <c r="I102"/>
  <c r="I98"/>
  <c r="I94"/>
  <c r="I90"/>
  <c r="I86"/>
  <c r="I82"/>
  <c r="I78"/>
  <c r="I74"/>
  <c r="I70"/>
  <c r="I66"/>
  <c r="I62"/>
  <c r="I58"/>
  <c r="I54"/>
  <c r="I50"/>
  <c r="I46"/>
  <c r="I42"/>
  <c r="I38"/>
  <c r="I34"/>
  <c r="I30"/>
  <c r="I26"/>
  <c r="J18"/>
  <c r="B34" i="9"/>
  <c r="C33"/>
  <c r="B33" i="8"/>
  <c r="A32"/>
  <c r="J24"/>
  <c r="K14"/>
  <c r="K24" s="1"/>
  <c r="J24" i="7"/>
  <c r="K14"/>
  <c r="J1"/>
  <c r="K3"/>
  <c r="K2" s="1"/>
  <c r="G106" i="6"/>
  <c r="G104"/>
  <c r="G102"/>
  <c r="G100"/>
  <c r="G98"/>
  <c r="G96"/>
  <c r="G94"/>
  <c r="G92"/>
  <c r="G90"/>
  <c r="G88"/>
  <c r="G86"/>
  <c r="G84"/>
  <c r="G82"/>
  <c r="G103"/>
  <c r="G99"/>
  <c r="G95"/>
  <c r="G91"/>
  <c r="G87"/>
  <c r="G83"/>
  <c r="G80"/>
  <c r="G78"/>
  <c r="G76"/>
  <c r="G74"/>
  <c r="G72"/>
  <c r="G70"/>
  <c r="G68"/>
  <c r="G66"/>
  <c r="G64"/>
  <c r="G62"/>
  <c r="G60"/>
  <c r="G58"/>
  <c r="G56"/>
  <c r="G54"/>
  <c r="G52"/>
  <c r="G50"/>
  <c r="G48"/>
  <c r="G46"/>
  <c r="G44"/>
  <c r="G42"/>
  <c r="G40"/>
  <c r="G38"/>
  <c r="G36"/>
  <c r="G34"/>
  <c r="G32"/>
  <c r="G30"/>
  <c r="G28"/>
  <c r="G26"/>
  <c r="G105"/>
  <c r="G101"/>
  <c r="G97"/>
  <c r="G93"/>
  <c r="G89"/>
  <c r="G85"/>
  <c r="G81"/>
  <c r="G79"/>
  <c r="G77"/>
  <c r="G75"/>
  <c r="G73"/>
  <c r="G71"/>
  <c r="G69"/>
  <c r="G67"/>
  <c r="G65"/>
  <c r="G63"/>
  <c r="G61"/>
  <c r="G59"/>
  <c r="G57"/>
  <c r="G55"/>
  <c r="G53"/>
  <c r="G51"/>
  <c r="G49"/>
  <c r="G47"/>
  <c r="G45"/>
  <c r="G43"/>
  <c r="G41"/>
  <c r="G39"/>
  <c r="G37"/>
  <c r="G35"/>
  <c r="G33"/>
  <c r="G31"/>
  <c r="G29"/>
  <c r="G27"/>
  <c r="H24"/>
  <c r="H1" s="1"/>
  <c r="I14"/>
  <c r="J16"/>
  <c r="I17"/>
  <c r="I3" s="1"/>
  <c r="I2" s="1"/>
  <c r="G106" i="4"/>
  <c r="G104"/>
  <c r="G102"/>
  <c r="G100"/>
  <c r="G98"/>
  <c r="G96"/>
  <c r="G94"/>
  <c r="G92"/>
  <c r="G90"/>
  <c r="G88"/>
  <c r="G86"/>
  <c r="G84"/>
  <c r="G82"/>
  <c r="G103"/>
  <c r="G99"/>
  <c r="G95"/>
  <c r="G91"/>
  <c r="G87"/>
  <c r="G83"/>
  <c r="G80"/>
  <c r="G78"/>
  <c r="G76"/>
  <c r="G74"/>
  <c r="G72"/>
  <c r="G70"/>
  <c r="G68"/>
  <c r="G66"/>
  <c r="G64"/>
  <c r="G62"/>
  <c r="G60"/>
  <c r="G58"/>
  <c r="G56"/>
  <c r="G54"/>
  <c r="G52"/>
  <c r="G50"/>
  <c r="G48"/>
  <c r="G46"/>
  <c r="G44"/>
  <c r="G42"/>
  <c r="G40"/>
  <c r="G38"/>
  <c r="G36"/>
  <c r="G34"/>
  <c r="G32"/>
  <c r="G30"/>
  <c r="G28"/>
  <c r="G26"/>
  <c r="G105"/>
  <c r="G101"/>
  <c r="G97"/>
  <c r="G93"/>
  <c r="G89"/>
  <c r="G85"/>
  <c r="G81"/>
  <c r="G79"/>
  <c r="G77"/>
  <c r="G75"/>
  <c r="G73"/>
  <c r="G71"/>
  <c r="G69"/>
  <c r="G67"/>
  <c r="G65"/>
  <c r="G63"/>
  <c r="G61"/>
  <c r="G59"/>
  <c r="G57"/>
  <c r="G55"/>
  <c r="G53"/>
  <c r="G51"/>
  <c r="G49"/>
  <c r="G47"/>
  <c r="G45"/>
  <c r="G43"/>
  <c r="G41"/>
  <c r="G39"/>
  <c r="G37"/>
  <c r="G35"/>
  <c r="G33"/>
  <c r="G31"/>
  <c r="G29"/>
  <c r="G27"/>
  <c r="H24"/>
  <c r="H1" s="1"/>
  <c r="I14"/>
  <c r="F28" i="1"/>
  <c r="F32"/>
  <c r="F36"/>
  <c r="F40"/>
  <c r="F44"/>
  <c r="F48"/>
  <c r="F52"/>
  <c r="F56"/>
  <c r="F60"/>
  <c r="F64"/>
  <c r="F68"/>
  <c r="F72"/>
  <c r="F76"/>
  <c r="F80"/>
  <c r="F84"/>
  <c r="F88"/>
  <c r="F92"/>
  <c r="F96"/>
  <c r="F100"/>
  <c r="F104"/>
  <c r="F27"/>
  <c r="F31"/>
  <c r="F35"/>
  <c r="F41"/>
  <c r="F45"/>
  <c r="F51"/>
  <c r="F57"/>
  <c r="F65"/>
  <c r="F71"/>
  <c r="F79"/>
  <c r="F85"/>
  <c r="F93"/>
  <c r="F103"/>
  <c r="F47"/>
  <c r="F59"/>
  <c r="F69"/>
  <c r="F77"/>
  <c r="F87"/>
  <c r="F95"/>
  <c r="F101"/>
  <c r="F26"/>
  <c r="F30"/>
  <c r="F34"/>
  <c r="F38"/>
  <c r="F42"/>
  <c r="F46"/>
  <c r="F50"/>
  <c r="F54"/>
  <c r="F58"/>
  <c r="F62"/>
  <c r="F66"/>
  <c r="F70"/>
  <c r="F74"/>
  <c r="F78"/>
  <c r="F82"/>
  <c r="F86"/>
  <c r="F90"/>
  <c r="F94"/>
  <c r="F98"/>
  <c r="F102"/>
  <c r="F106"/>
  <c r="F29"/>
  <c r="F33"/>
  <c r="F39"/>
  <c r="F43"/>
  <c r="F49"/>
  <c r="F55"/>
  <c r="F61"/>
  <c r="F67"/>
  <c r="F75"/>
  <c r="F81"/>
  <c r="F89"/>
  <c r="F97"/>
  <c r="F37"/>
  <c r="F53"/>
  <c r="F63"/>
  <c r="F73"/>
  <c r="F83"/>
  <c r="F91"/>
  <c r="F99"/>
  <c r="F105"/>
  <c r="G18"/>
  <c r="K24"/>
  <c r="G24"/>
  <c r="I24"/>
  <c r="H24"/>
  <c r="J24"/>
  <c r="F24"/>
  <c r="B29"/>
  <c r="A28"/>
  <c r="A27"/>
  <c r="T33" i="7"/>
  <c r="T32"/>
  <c r="T31"/>
  <c r="T27"/>
  <c r="T28"/>
  <c r="T29"/>
  <c r="T30"/>
  <c r="T34"/>
  <c r="S34"/>
  <c r="R34"/>
  <c r="Q34"/>
  <c r="P34"/>
  <c r="O34"/>
  <c r="J26" a="1"/>
  <c r="G26" i="1" a="1"/>
  <c r="F33" i="9"/>
  <c r="D33"/>
  <c r="H26" i="4" a="1"/>
  <c r="G33" i="9"/>
  <c r="H26" i="6" a="1"/>
  <c r="E33" i="9"/>
  <c r="J25" i="7"/>
  <c r="N35" l="1"/>
  <c r="M36"/>
  <c r="N51"/>
  <c r="J105"/>
  <c r="J101"/>
  <c r="J97"/>
  <c r="J93"/>
  <c r="J89"/>
  <c r="J85"/>
  <c r="J81"/>
  <c r="J77"/>
  <c r="J73"/>
  <c r="J69"/>
  <c r="J65"/>
  <c r="J61"/>
  <c r="J57"/>
  <c r="J53"/>
  <c r="J49"/>
  <c r="J45"/>
  <c r="J41"/>
  <c r="J37"/>
  <c r="J33"/>
  <c r="J29"/>
  <c r="J106"/>
  <c r="J102"/>
  <c r="J98"/>
  <c r="J94"/>
  <c r="J90"/>
  <c r="J86"/>
  <c r="J82"/>
  <c r="J78"/>
  <c r="J74"/>
  <c r="J70"/>
  <c r="J66"/>
  <c r="J62"/>
  <c r="J58"/>
  <c r="J54"/>
  <c r="J50"/>
  <c r="J46"/>
  <c r="J42"/>
  <c r="J38"/>
  <c r="J34"/>
  <c r="J30"/>
  <c r="J26"/>
  <c r="J103"/>
  <c r="J99"/>
  <c r="J95"/>
  <c r="J91"/>
  <c r="J87"/>
  <c r="J83"/>
  <c r="J79"/>
  <c r="J75"/>
  <c r="J71"/>
  <c r="J67"/>
  <c r="J63"/>
  <c r="J59"/>
  <c r="J55"/>
  <c r="J51"/>
  <c r="J47"/>
  <c r="J43"/>
  <c r="J39"/>
  <c r="J35"/>
  <c r="J31"/>
  <c r="J27"/>
  <c r="J104"/>
  <c r="J100"/>
  <c r="J96"/>
  <c r="J92"/>
  <c r="J88"/>
  <c r="J84"/>
  <c r="J80"/>
  <c r="J76"/>
  <c r="J72"/>
  <c r="J68"/>
  <c r="J64"/>
  <c r="J60"/>
  <c r="J56"/>
  <c r="J52"/>
  <c r="J48"/>
  <c r="J44"/>
  <c r="J40"/>
  <c r="J36"/>
  <c r="J32"/>
  <c r="J28"/>
  <c r="K18"/>
  <c r="B35" i="9"/>
  <c r="C34"/>
  <c r="B34" i="8"/>
  <c r="A33"/>
  <c r="K24" i="7"/>
  <c r="K1" s="1"/>
  <c r="H106" i="6"/>
  <c r="H104"/>
  <c r="H102"/>
  <c r="H100"/>
  <c r="H98"/>
  <c r="H96"/>
  <c r="H94"/>
  <c r="H92"/>
  <c r="H90"/>
  <c r="H88"/>
  <c r="H86"/>
  <c r="H84"/>
  <c r="H82"/>
  <c r="H80"/>
  <c r="H78"/>
  <c r="H76"/>
  <c r="H74"/>
  <c r="H72"/>
  <c r="H70"/>
  <c r="H68"/>
  <c r="H66"/>
  <c r="H64"/>
  <c r="H62"/>
  <c r="H60"/>
  <c r="H58"/>
  <c r="H56"/>
  <c r="H54"/>
  <c r="H52"/>
  <c r="H50"/>
  <c r="H48"/>
  <c r="H46"/>
  <c r="H44"/>
  <c r="H42"/>
  <c r="H40"/>
  <c r="H38"/>
  <c r="H36"/>
  <c r="H34"/>
  <c r="H32"/>
  <c r="H30"/>
  <c r="H28"/>
  <c r="H26"/>
  <c r="H105"/>
  <c r="H101"/>
  <c r="H97"/>
  <c r="H93"/>
  <c r="H89"/>
  <c r="H85"/>
  <c r="H81"/>
  <c r="H77"/>
  <c r="H73"/>
  <c r="H69"/>
  <c r="H65"/>
  <c r="H61"/>
  <c r="H57"/>
  <c r="H53"/>
  <c r="H49"/>
  <c r="H45"/>
  <c r="H41"/>
  <c r="H37"/>
  <c r="H33"/>
  <c r="H29"/>
  <c r="H103"/>
  <c r="H99"/>
  <c r="H95"/>
  <c r="H91"/>
  <c r="H87"/>
  <c r="H83"/>
  <c r="H79"/>
  <c r="H75"/>
  <c r="H71"/>
  <c r="H67"/>
  <c r="H63"/>
  <c r="H59"/>
  <c r="H55"/>
  <c r="H51"/>
  <c r="H47"/>
  <c r="H43"/>
  <c r="H39"/>
  <c r="H35"/>
  <c r="H31"/>
  <c r="H27"/>
  <c r="J17"/>
  <c r="J3"/>
  <c r="J2" s="1"/>
  <c r="K16"/>
  <c r="I24"/>
  <c r="I1" s="1"/>
  <c r="J14"/>
  <c r="H106" i="4"/>
  <c r="H104"/>
  <c r="H102"/>
  <c r="H100"/>
  <c r="H98"/>
  <c r="H96"/>
  <c r="H94"/>
  <c r="H92"/>
  <c r="H90"/>
  <c r="H88"/>
  <c r="H86"/>
  <c r="H84"/>
  <c r="H82"/>
  <c r="H80"/>
  <c r="H78"/>
  <c r="H76"/>
  <c r="H74"/>
  <c r="H72"/>
  <c r="H70"/>
  <c r="H68"/>
  <c r="H66"/>
  <c r="H64"/>
  <c r="H62"/>
  <c r="H60"/>
  <c r="H58"/>
  <c r="H56"/>
  <c r="H54"/>
  <c r="H52"/>
  <c r="H50"/>
  <c r="H48"/>
  <c r="H46"/>
  <c r="H44"/>
  <c r="H42"/>
  <c r="H40"/>
  <c r="H38"/>
  <c r="H36"/>
  <c r="H34"/>
  <c r="H32"/>
  <c r="H30"/>
  <c r="H28"/>
  <c r="H26"/>
  <c r="H105"/>
  <c r="H101"/>
  <c r="H97"/>
  <c r="H93"/>
  <c r="H89"/>
  <c r="H85"/>
  <c r="H81"/>
  <c r="H77"/>
  <c r="H73"/>
  <c r="H69"/>
  <c r="H65"/>
  <c r="H61"/>
  <c r="H57"/>
  <c r="H53"/>
  <c r="H49"/>
  <c r="H45"/>
  <c r="H41"/>
  <c r="H37"/>
  <c r="H33"/>
  <c r="H29"/>
  <c r="H103"/>
  <c r="H99"/>
  <c r="H95"/>
  <c r="H91"/>
  <c r="H87"/>
  <c r="H83"/>
  <c r="H79"/>
  <c r="H75"/>
  <c r="H71"/>
  <c r="H67"/>
  <c r="H63"/>
  <c r="H59"/>
  <c r="H55"/>
  <c r="H51"/>
  <c r="H47"/>
  <c r="H43"/>
  <c r="H39"/>
  <c r="H35"/>
  <c r="H31"/>
  <c r="H27"/>
  <c r="I24"/>
  <c r="I1" s="1"/>
  <c r="J14"/>
  <c r="G105" i="1"/>
  <c r="G101"/>
  <c r="G97"/>
  <c r="G93"/>
  <c r="G89"/>
  <c r="G85"/>
  <c r="G81"/>
  <c r="G77"/>
  <c r="G73"/>
  <c r="G69"/>
  <c r="G65"/>
  <c r="G61"/>
  <c r="G57"/>
  <c r="G53"/>
  <c r="G49"/>
  <c r="G45"/>
  <c r="G41"/>
  <c r="G37"/>
  <c r="G33"/>
  <c r="G29"/>
  <c r="G106"/>
  <c r="G102"/>
  <c r="G98"/>
  <c r="G94"/>
  <c r="G90"/>
  <c r="G86"/>
  <c r="G82"/>
  <c r="G78"/>
  <c r="G74"/>
  <c r="G70"/>
  <c r="G66"/>
  <c r="G62"/>
  <c r="G58"/>
  <c r="G54"/>
  <c r="G50"/>
  <c r="G46"/>
  <c r="G42"/>
  <c r="G38"/>
  <c r="G34"/>
  <c r="G30"/>
  <c r="G26"/>
  <c r="G103"/>
  <c r="G99"/>
  <c r="G95"/>
  <c r="G91"/>
  <c r="G87"/>
  <c r="G83"/>
  <c r="G79"/>
  <c r="G75"/>
  <c r="G71"/>
  <c r="G67"/>
  <c r="G63"/>
  <c r="G59"/>
  <c r="G55"/>
  <c r="G51"/>
  <c r="G47"/>
  <c r="G43"/>
  <c r="G39"/>
  <c r="G35"/>
  <c r="G31"/>
  <c r="G27"/>
  <c r="G104"/>
  <c r="G100"/>
  <c r="G96"/>
  <c r="G92"/>
  <c r="G88"/>
  <c r="G84"/>
  <c r="G80"/>
  <c r="G76"/>
  <c r="G72"/>
  <c r="G68"/>
  <c r="G64"/>
  <c r="G60"/>
  <c r="G56"/>
  <c r="G52"/>
  <c r="G48"/>
  <c r="G44"/>
  <c r="G40"/>
  <c r="G36"/>
  <c r="G32"/>
  <c r="G28"/>
  <c r="H18"/>
  <c r="Y9" s="1"/>
  <c r="B30"/>
  <c r="A29"/>
  <c r="U34" i="7"/>
  <c r="U33"/>
  <c r="U32"/>
  <c r="U31"/>
  <c r="U30"/>
  <c r="U29"/>
  <c r="U28"/>
  <c r="U27"/>
  <c r="U35"/>
  <c r="T35"/>
  <c r="S35"/>
  <c r="R35"/>
  <c r="Q35"/>
  <c r="P35"/>
  <c r="O35"/>
  <c r="K26" a="1"/>
  <c r="K25"/>
  <c r="E34" i="9"/>
  <c r="I26" i="6" a="1"/>
  <c r="F34" i="9"/>
  <c r="I26" i="4" a="1"/>
  <c r="G34" i="9"/>
  <c r="H26" i="1" a="1"/>
  <c r="D34" i="9"/>
  <c r="V27" i="7" l="1"/>
  <c r="U44" s="1"/>
  <c r="V28"/>
  <c r="V29"/>
  <c r="V30"/>
  <c r="V31"/>
  <c r="V32"/>
  <c r="V33"/>
  <c r="V34"/>
  <c r="V35"/>
  <c r="P52" s="1"/>
  <c r="M37"/>
  <c r="N36"/>
  <c r="N52"/>
  <c r="K103"/>
  <c r="K99"/>
  <c r="K95"/>
  <c r="K91"/>
  <c r="K87"/>
  <c r="K83"/>
  <c r="K79"/>
  <c r="K75"/>
  <c r="K71"/>
  <c r="K67"/>
  <c r="K63"/>
  <c r="K59"/>
  <c r="K55"/>
  <c r="K51"/>
  <c r="K47"/>
  <c r="K43"/>
  <c r="K39"/>
  <c r="K35"/>
  <c r="K31"/>
  <c r="K27"/>
  <c r="K104"/>
  <c r="K100"/>
  <c r="K96"/>
  <c r="K92"/>
  <c r="K88"/>
  <c r="K84"/>
  <c r="K80"/>
  <c r="K76"/>
  <c r="K72"/>
  <c r="K68"/>
  <c r="K64"/>
  <c r="K60"/>
  <c r="K56"/>
  <c r="K52"/>
  <c r="K48"/>
  <c r="K44"/>
  <c r="K40"/>
  <c r="K36"/>
  <c r="K32"/>
  <c r="K28"/>
  <c r="K105"/>
  <c r="K101"/>
  <c r="K97"/>
  <c r="K93"/>
  <c r="K89"/>
  <c r="K85"/>
  <c r="K81"/>
  <c r="K77"/>
  <c r="K73"/>
  <c r="K69"/>
  <c r="K65"/>
  <c r="K61"/>
  <c r="K57"/>
  <c r="K53"/>
  <c r="K49"/>
  <c r="K45"/>
  <c r="K41"/>
  <c r="K37"/>
  <c r="K33"/>
  <c r="K29"/>
  <c r="K106"/>
  <c r="K102"/>
  <c r="K98"/>
  <c r="K94"/>
  <c r="K90"/>
  <c r="K86"/>
  <c r="K82"/>
  <c r="K78"/>
  <c r="K74"/>
  <c r="K70"/>
  <c r="K66"/>
  <c r="K62"/>
  <c r="K58"/>
  <c r="K54"/>
  <c r="K50"/>
  <c r="K46"/>
  <c r="K42"/>
  <c r="K38"/>
  <c r="K34"/>
  <c r="K30"/>
  <c r="K26"/>
  <c r="B36" i="9"/>
  <c r="C35"/>
  <c r="B35" i="8"/>
  <c r="A34"/>
  <c r="AA9" i="1"/>
  <c r="AA10"/>
  <c r="I105" i="6"/>
  <c r="I103"/>
  <c r="I101"/>
  <c r="I99"/>
  <c r="I97"/>
  <c r="I95"/>
  <c r="I93"/>
  <c r="I91"/>
  <c r="I89"/>
  <c r="I87"/>
  <c r="I85"/>
  <c r="I83"/>
  <c r="I81"/>
  <c r="I79"/>
  <c r="I77"/>
  <c r="I75"/>
  <c r="I73"/>
  <c r="I71"/>
  <c r="I69"/>
  <c r="I67"/>
  <c r="I65"/>
  <c r="I63"/>
  <c r="I61"/>
  <c r="I59"/>
  <c r="I57"/>
  <c r="I106"/>
  <c r="I104"/>
  <c r="I102"/>
  <c r="I100"/>
  <c r="I98"/>
  <c r="I96"/>
  <c r="I94"/>
  <c r="I92"/>
  <c r="I90"/>
  <c r="I88"/>
  <c r="I86"/>
  <c r="I84"/>
  <c r="I82"/>
  <c r="I80"/>
  <c r="I78"/>
  <c r="I76"/>
  <c r="I74"/>
  <c r="I72"/>
  <c r="I70"/>
  <c r="I68"/>
  <c r="I66"/>
  <c r="I64"/>
  <c r="I62"/>
  <c r="I60"/>
  <c r="I58"/>
  <c r="I56"/>
  <c r="I54"/>
  <c r="I52"/>
  <c r="I50"/>
  <c r="I48"/>
  <c r="I46"/>
  <c r="I44"/>
  <c r="I42"/>
  <c r="I40"/>
  <c r="I38"/>
  <c r="I36"/>
  <c r="I34"/>
  <c r="I32"/>
  <c r="I30"/>
  <c r="I28"/>
  <c r="I26"/>
  <c r="I55"/>
  <c r="I51"/>
  <c r="I47"/>
  <c r="I43"/>
  <c r="I39"/>
  <c r="I35"/>
  <c r="I31"/>
  <c r="I27"/>
  <c r="I53"/>
  <c r="I49"/>
  <c r="I45"/>
  <c r="I41"/>
  <c r="I37"/>
  <c r="I33"/>
  <c r="I29"/>
  <c r="K17"/>
  <c r="K3" s="1"/>
  <c r="K2" s="1"/>
  <c r="J24"/>
  <c r="J1" s="1"/>
  <c r="K14"/>
  <c r="I105" i="4"/>
  <c r="I103"/>
  <c r="I101"/>
  <c r="I99"/>
  <c r="I97"/>
  <c r="I95"/>
  <c r="I93"/>
  <c r="I91"/>
  <c r="I89"/>
  <c r="I87"/>
  <c r="I85"/>
  <c r="I83"/>
  <c r="I81"/>
  <c r="I79"/>
  <c r="I77"/>
  <c r="I75"/>
  <c r="I73"/>
  <c r="I71"/>
  <c r="I69"/>
  <c r="I67"/>
  <c r="I65"/>
  <c r="I63"/>
  <c r="I61"/>
  <c r="I59"/>
  <c r="I57"/>
  <c r="I55"/>
  <c r="I53"/>
  <c r="I51"/>
  <c r="I49"/>
  <c r="I47"/>
  <c r="I45"/>
  <c r="I43"/>
  <c r="I41"/>
  <c r="I39"/>
  <c r="I37"/>
  <c r="I35"/>
  <c r="I33"/>
  <c r="I31"/>
  <c r="I29"/>
  <c r="I27"/>
  <c r="I106"/>
  <c r="I104"/>
  <c r="I102"/>
  <c r="I100"/>
  <c r="I98"/>
  <c r="I96"/>
  <c r="I94"/>
  <c r="I92"/>
  <c r="I90"/>
  <c r="I88"/>
  <c r="I86"/>
  <c r="I84"/>
  <c r="I82"/>
  <c r="I80"/>
  <c r="I78"/>
  <c r="I76"/>
  <c r="I74"/>
  <c r="I72"/>
  <c r="I70"/>
  <c r="I68"/>
  <c r="I66"/>
  <c r="I64"/>
  <c r="I62"/>
  <c r="I60"/>
  <c r="I58"/>
  <c r="I56"/>
  <c r="I54"/>
  <c r="I52"/>
  <c r="I50"/>
  <c r="I48"/>
  <c r="I46"/>
  <c r="I44"/>
  <c r="I42"/>
  <c r="I40"/>
  <c r="I38"/>
  <c r="I36"/>
  <c r="I34"/>
  <c r="I32"/>
  <c r="I30"/>
  <c r="I28"/>
  <c r="I26"/>
  <c r="J24"/>
  <c r="J1" s="1"/>
  <c r="K14"/>
  <c r="H103" i="1"/>
  <c r="H99"/>
  <c r="H95"/>
  <c r="H91"/>
  <c r="H87"/>
  <c r="H83"/>
  <c r="H79"/>
  <c r="H75"/>
  <c r="H71"/>
  <c r="H67"/>
  <c r="H63"/>
  <c r="H59"/>
  <c r="H55"/>
  <c r="H51"/>
  <c r="H47"/>
  <c r="H43"/>
  <c r="H39"/>
  <c r="H35"/>
  <c r="H31"/>
  <c r="H27"/>
  <c r="H104"/>
  <c r="H100"/>
  <c r="H96"/>
  <c r="H92"/>
  <c r="H88"/>
  <c r="H84"/>
  <c r="H80"/>
  <c r="H76"/>
  <c r="H72"/>
  <c r="H68"/>
  <c r="H64"/>
  <c r="H60"/>
  <c r="H56"/>
  <c r="H52"/>
  <c r="H48"/>
  <c r="H44"/>
  <c r="H40"/>
  <c r="H36"/>
  <c r="H32"/>
  <c r="H28"/>
  <c r="H105"/>
  <c r="H101"/>
  <c r="H97"/>
  <c r="H93"/>
  <c r="H89"/>
  <c r="H85"/>
  <c r="H81"/>
  <c r="H77"/>
  <c r="H73"/>
  <c r="H69"/>
  <c r="H65"/>
  <c r="H61"/>
  <c r="H57"/>
  <c r="H53"/>
  <c r="H49"/>
  <c r="H45"/>
  <c r="H41"/>
  <c r="H37"/>
  <c r="H33"/>
  <c r="H29"/>
  <c r="H106"/>
  <c r="H102"/>
  <c r="H98"/>
  <c r="H94"/>
  <c r="H90"/>
  <c r="H86"/>
  <c r="H82"/>
  <c r="H78"/>
  <c r="H74"/>
  <c r="H70"/>
  <c r="H66"/>
  <c r="H62"/>
  <c r="H58"/>
  <c r="H54"/>
  <c r="H50"/>
  <c r="H46"/>
  <c r="H42"/>
  <c r="H38"/>
  <c r="H34"/>
  <c r="H30"/>
  <c r="H26"/>
  <c r="I18"/>
  <c r="B31"/>
  <c r="A30"/>
  <c r="U36" i="7"/>
  <c r="T36"/>
  <c r="S36"/>
  <c r="R36"/>
  <c r="Q36"/>
  <c r="P36"/>
  <c r="O36"/>
  <c r="F35" i="9"/>
  <c r="J26" i="4" a="1"/>
  <c r="I26" i="1" a="1"/>
  <c r="G35" i="9"/>
  <c r="J26" i="6" a="1"/>
  <c r="D35" i="9"/>
  <c r="E35"/>
  <c r="P50" i="7" l="1"/>
  <c r="R50"/>
  <c r="O50"/>
  <c r="Q50"/>
  <c r="S50"/>
  <c r="T50"/>
  <c r="P48"/>
  <c r="O48"/>
  <c r="Q48"/>
  <c r="R48"/>
  <c r="S48"/>
  <c r="T48"/>
  <c r="O46"/>
  <c r="P46"/>
  <c r="Q46"/>
  <c r="R46"/>
  <c r="S46"/>
  <c r="T46"/>
  <c r="U50"/>
  <c r="U48"/>
  <c r="U46"/>
  <c r="U52"/>
  <c r="S52"/>
  <c r="Q52"/>
  <c r="O52"/>
  <c r="P51"/>
  <c r="R51"/>
  <c r="T51"/>
  <c r="O51"/>
  <c r="Q51"/>
  <c r="S51"/>
  <c r="P49"/>
  <c r="R49"/>
  <c r="O49"/>
  <c r="Q49"/>
  <c r="S49"/>
  <c r="T49"/>
  <c r="P47"/>
  <c r="O47"/>
  <c r="Q47"/>
  <c r="R47"/>
  <c r="S47"/>
  <c r="T47"/>
  <c r="O45"/>
  <c r="P45"/>
  <c r="Q45"/>
  <c r="R45"/>
  <c r="S45"/>
  <c r="T45"/>
  <c r="U51"/>
  <c r="U49"/>
  <c r="U47"/>
  <c r="U45"/>
  <c r="T52"/>
  <c r="R52"/>
  <c r="P44"/>
  <c r="R44"/>
  <c r="O44"/>
  <c r="Q44"/>
  <c r="S44"/>
  <c r="T44"/>
  <c r="V36"/>
  <c r="P53" s="1"/>
  <c r="N37"/>
  <c r="M38"/>
  <c r="N53"/>
  <c r="B37" i="9"/>
  <c r="C36"/>
  <c r="B36" i="8"/>
  <c r="A35"/>
  <c r="J105" i="6"/>
  <c r="J103"/>
  <c r="J101"/>
  <c r="J99"/>
  <c r="J97"/>
  <c r="J95"/>
  <c r="J93"/>
  <c r="J91"/>
  <c r="J89"/>
  <c r="J87"/>
  <c r="J85"/>
  <c r="J83"/>
  <c r="J81"/>
  <c r="J79"/>
  <c r="J77"/>
  <c r="J75"/>
  <c r="J73"/>
  <c r="J71"/>
  <c r="J69"/>
  <c r="J67"/>
  <c r="J65"/>
  <c r="J63"/>
  <c r="J61"/>
  <c r="J59"/>
  <c r="J57"/>
  <c r="J55"/>
  <c r="J53"/>
  <c r="J51"/>
  <c r="J49"/>
  <c r="J47"/>
  <c r="J45"/>
  <c r="J43"/>
  <c r="J41"/>
  <c r="J39"/>
  <c r="J37"/>
  <c r="J35"/>
  <c r="J33"/>
  <c r="J31"/>
  <c r="J29"/>
  <c r="J27"/>
  <c r="J106"/>
  <c r="J104"/>
  <c r="J102"/>
  <c r="J100"/>
  <c r="J98"/>
  <c r="J96"/>
  <c r="J94"/>
  <c r="J92"/>
  <c r="J90"/>
  <c r="J88"/>
  <c r="J86"/>
  <c r="J84"/>
  <c r="J82"/>
  <c r="J80"/>
  <c r="J78"/>
  <c r="J76"/>
  <c r="J74"/>
  <c r="J72"/>
  <c r="J70"/>
  <c r="J68"/>
  <c r="J66"/>
  <c r="J64"/>
  <c r="J62"/>
  <c r="J60"/>
  <c r="J58"/>
  <c r="J56"/>
  <c r="J54"/>
  <c r="J52"/>
  <c r="J50"/>
  <c r="J48"/>
  <c r="J46"/>
  <c r="J44"/>
  <c r="J42"/>
  <c r="J40"/>
  <c r="J38"/>
  <c r="J36"/>
  <c r="J34"/>
  <c r="J32"/>
  <c r="J30"/>
  <c r="J28"/>
  <c r="J26"/>
  <c r="K24"/>
  <c r="K1" s="1"/>
  <c r="J105" i="4"/>
  <c r="J103"/>
  <c r="J101"/>
  <c r="J99"/>
  <c r="J97"/>
  <c r="J95"/>
  <c r="J93"/>
  <c r="J91"/>
  <c r="J89"/>
  <c r="J87"/>
  <c r="J85"/>
  <c r="J83"/>
  <c r="J81"/>
  <c r="J79"/>
  <c r="J77"/>
  <c r="J75"/>
  <c r="J73"/>
  <c r="J71"/>
  <c r="J69"/>
  <c r="J67"/>
  <c r="J65"/>
  <c r="J63"/>
  <c r="J61"/>
  <c r="J59"/>
  <c r="J57"/>
  <c r="J55"/>
  <c r="J53"/>
  <c r="J51"/>
  <c r="J49"/>
  <c r="J47"/>
  <c r="J45"/>
  <c r="J43"/>
  <c r="J41"/>
  <c r="J39"/>
  <c r="J37"/>
  <c r="J35"/>
  <c r="J33"/>
  <c r="J31"/>
  <c r="J29"/>
  <c r="J27"/>
  <c r="J106"/>
  <c r="J104"/>
  <c r="J102"/>
  <c r="J100"/>
  <c r="J98"/>
  <c r="J96"/>
  <c r="J94"/>
  <c r="J92"/>
  <c r="J90"/>
  <c r="J88"/>
  <c r="J86"/>
  <c r="J84"/>
  <c r="J82"/>
  <c r="J80"/>
  <c r="J78"/>
  <c r="J76"/>
  <c r="J74"/>
  <c r="J72"/>
  <c r="J70"/>
  <c r="J68"/>
  <c r="J66"/>
  <c r="J64"/>
  <c r="J62"/>
  <c r="J60"/>
  <c r="J58"/>
  <c r="J56"/>
  <c r="J54"/>
  <c r="J52"/>
  <c r="J50"/>
  <c r="J48"/>
  <c r="J46"/>
  <c r="J44"/>
  <c r="J42"/>
  <c r="J40"/>
  <c r="J38"/>
  <c r="J36"/>
  <c r="J34"/>
  <c r="J32"/>
  <c r="J30"/>
  <c r="J28"/>
  <c r="J26"/>
  <c r="K24"/>
  <c r="K1" s="1"/>
  <c r="I105" i="1"/>
  <c r="I101"/>
  <c r="I97"/>
  <c r="I93"/>
  <c r="I89"/>
  <c r="I85"/>
  <c r="I81"/>
  <c r="I77"/>
  <c r="I73"/>
  <c r="I69"/>
  <c r="I65"/>
  <c r="I61"/>
  <c r="I57"/>
  <c r="I53"/>
  <c r="I49"/>
  <c r="I45"/>
  <c r="I41"/>
  <c r="I37"/>
  <c r="I33"/>
  <c r="I29"/>
  <c r="I106"/>
  <c r="I102"/>
  <c r="I98"/>
  <c r="I94"/>
  <c r="I90"/>
  <c r="I86"/>
  <c r="I82"/>
  <c r="I78"/>
  <c r="I74"/>
  <c r="I70"/>
  <c r="I66"/>
  <c r="I62"/>
  <c r="I58"/>
  <c r="I54"/>
  <c r="I50"/>
  <c r="I46"/>
  <c r="I42"/>
  <c r="I38"/>
  <c r="I34"/>
  <c r="I30"/>
  <c r="I26"/>
  <c r="I103"/>
  <c r="I99"/>
  <c r="I95"/>
  <c r="I91"/>
  <c r="I87"/>
  <c r="I83"/>
  <c r="I79"/>
  <c r="I75"/>
  <c r="I71"/>
  <c r="I67"/>
  <c r="I63"/>
  <c r="I59"/>
  <c r="I55"/>
  <c r="I51"/>
  <c r="I47"/>
  <c r="I43"/>
  <c r="I39"/>
  <c r="I35"/>
  <c r="I31"/>
  <c r="I27"/>
  <c r="I104"/>
  <c r="I100"/>
  <c r="I96"/>
  <c r="I92"/>
  <c r="I88"/>
  <c r="I84"/>
  <c r="I80"/>
  <c r="I76"/>
  <c r="I72"/>
  <c r="I68"/>
  <c r="I64"/>
  <c r="I60"/>
  <c r="I56"/>
  <c r="I52"/>
  <c r="I48"/>
  <c r="I44"/>
  <c r="I40"/>
  <c r="I36"/>
  <c r="I32"/>
  <c r="I28"/>
  <c r="J18"/>
  <c r="B32"/>
  <c r="A31"/>
  <c r="U37" i="7"/>
  <c r="T37"/>
  <c r="S37"/>
  <c r="R37"/>
  <c r="Q37"/>
  <c r="P37"/>
  <c r="O37"/>
  <c r="F36" i="9"/>
  <c r="G36"/>
  <c r="J26" i="1" a="1"/>
  <c r="K26" i="6" a="1"/>
  <c r="E36" i="9"/>
  <c r="K26" i="4" a="1"/>
  <c r="D36" i="9"/>
  <c r="U53" i="7" l="1"/>
  <c r="S53"/>
  <c r="Q53"/>
  <c r="O53"/>
  <c r="T53"/>
  <c r="R53"/>
  <c r="V37"/>
  <c r="P54" s="1"/>
  <c r="N54"/>
  <c r="N38"/>
  <c r="M39"/>
  <c r="B38" i="9"/>
  <c r="C37"/>
  <c r="B37" i="8"/>
  <c r="A36"/>
  <c r="K105" i="6"/>
  <c r="K103"/>
  <c r="K101"/>
  <c r="K99"/>
  <c r="K97"/>
  <c r="K95"/>
  <c r="K93"/>
  <c r="K91"/>
  <c r="K89"/>
  <c r="K87"/>
  <c r="K85"/>
  <c r="K83"/>
  <c r="K81"/>
  <c r="K79"/>
  <c r="K77"/>
  <c r="K75"/>
  <c r="K73"/>
  <c r="K71"/>
  <c r="K69"/>
  <c r="K67"/>
  <c r="K65"/>
  <c r="K63"/>
  <c r="K61"/>
  <c r="K59"/>
  <c r="K57"/>
  <c r="K55"/>
  <c r="K53"/>
  <c r="K51"/>
  <c r="K49"/>
  <c r="K47"/>
  <c r="K45"/>
  <c r="K43"/>
  <c r="K41"/>
  <c r="K39"/>
  <c r="K37"/>
  <c r="K35"/>
  <c r="K33"/>
  <c r="K31"/>
  <c r="K29"/>
  <c r="K27"/>
  <c r="K106"/>
  <c r="K104"/>
  <c r="K102"/>
  <c r="K100"/>
  <c r="K98"/>
  <c r="K96"/>
  <c r="K94"/>
  <c r="K92"/>
  <c r="K90"/>
  <c r="K88"/>
  <c r="K86"/>
  <c r="K84"/>
  <c r="K82"/>
  <c r="K80"/>
  <c r="K78"/>
  <c r="K76"/>
  <c r="K74"/>
  <c r="K72"/>
  <c r="K70"/>
  <c r="K68"/>
  <c r="K66"/>
  <c r="K64"/>
  <c r="K62"/>
  <c r="K60"/>
  <c r="K58"/>
  <c r="K56"/>
  <c r="K54"/>
  <c r="K52"/>
  <c r="K50"/>
  <c r="K48"/>
  <c r="K46"/>
  <c r="K44"/>
  <c r="K42"/>
  <c r="K40"/>
  <c r="K38"/>
  <c r="K36"/>
  <c r="K34"/>
  <c r="K32"/>
  <c r="K30"/>
  <c r="K28"/>
  <c r="K26"/>
  <c r="K105" i="4"/>
  <c r="K103"/>
  <c r="K101"/>
  <c r="K99"/>
  <c r="K97"/>
  <c r="K95"/>
  <c r="K93"/>
  <c r="K91"/>
  <c r="K89"/>
  <c r="K87"/>
  <c r="K85"/>
  <c r="K83"/>
  <c r="K81"/>
  <c r="K79"/>
  <c r="K77"/>
  <c r="K75"/>
  <c r="K73"/>
  <c r="K71"/>
  <c r="K69"/>
  <c r="K67"/>
  <c r="K65"/>
  <c r="K63"/>
  <c r="K61"/>
  <c r="K59"/>
  <c r="K57"/>
  <c r="K55"/>
  <c r="K53"/>
  <c r="K51"/>
  <c r="K49"/>
  <c r="K47"/>
  <c r="K45"/>
  <c r="K43"/>
  <c r="K41"/>
  <c r="K39"/>
  <c r="K37"/>
  <c r="K35"/>
  <c r="K33"/>
  <c r="K31"/>
  <c r="K29"/>
  <c r="K27"/>
  <c r="K106"/>
  <c r="K104"/>
  <c r="K102"/>
  <c r="K100"/>
  <c r="K98"/>
  <c r="K96"/>
  <c r="K94"/>
  <c r="K92"/>
  <c r="K90"/>
  <c r="K88"/>
  <c r="K86"/>
  <c r="K84"/>
  <c r="K82"/>
  <c r="K80"/>
  <c r="K78"/>
  <c r="K76"/>
  <c r="K74"/>
  <c r="K72"/>
  <c r="K70"/>
  <c r="K68"/>
  <c r="K66"/>
  <c r="K64"/>
  <c r="K62"/>
  <c r="K60"/>
  <c r="K58"/>
  <c r="K56"/>
  <c r="K54"/>
  <c r="K52"/>
  <c r="K50"/>
  <c r="K48"/>
  <c r="K46"/>
  <c r="K44"/>
  <c r="K42"/>
  <c r="K40"/>
  <c r="K38"/>
  <c r="K36"/>
  <c r="K34"/>
  <c r="K32"/>
  <c r="K30"/>
  <c r="K28"/>
  <c r="K26"/>
  <c r="J103" i="1"/>
  <c r="J99"/>
  <c r="J95"/>
  <c r="J91"/>
  <c r="J87"/>
  <c r="J83"/>
  <c r="J79"/>
  <c r="J75"/>
  <c r="J71"/>
  <c r="J67"/>
  <c r="J63"/>
  <c r="J59"/>
  <c r="J55"/>
  <c r="J51"/>
  <c r="J47"/>
  <c r="J43"/>
  <c r="J39"/>
  <c r="J35"/>
  <c r="J31"/>
  <c r="J27"/>
  <c r="J104"/>
  <c r="J100"/>
  <c r="J96"/>
  <c r="J92"/>
  <c r="J88"/>
  <c r="J84"/>
  <c r="J80"/>
  <c r="J76"/>
  <c r="J72"/>
  <c r="J68"/>
  <c r="J64"/>
  <c r="J60"/>
  <c r="J56"/>
  <c r="J52"/>
  <c r="J48"/>
  <c r="J44"/>
  <c r="J40"/>
  <c r="J36"/>
  <c r="J32"/>
  <c r="J28"/>
  <c r="J105"/>
  <c r="J101"/>
  <c r="J97"/>
  <c r="J93"/>
  <c r="J89"/>
  <c r="J85"/>
  <c r="J81"/>
  <c r="J77"/>
  <c r="J73"/>
  <c r="J69"/>
  <c r="J65"/>
  <c r="J61"/>
  <c r="J57"/>
  <c r="J53"/>
  <c r="J49"/>
  <c r="J45"/>
  <c r="J41"/>
  <c r="J37"/>
  <c r="J33"/>
  <c r="J29"/>
  <c r="J106"/>
  <c r="J102"/>
  <c r="J98"/>
  <c r="J94"/>
  <c r="J90"/>
  <c r="J86"/>
  <c r="J82"/>
  <c r="J78"/>
  <c r="J74"/>
  <c r="J70"/>
  <c r="J66"/>
  <c r="J62"/>
  <c r="J58"/>
  <c r="J54"/>
  <c r="J50"/>
  <c r="J46"/>
  <c r="J42"/>
  <c r="J38"/>
  <c r="J34"/>
  <c r="J30"/>
  <c r="J26"/>
  <c r="K18"/>
  <c r="B33"/>
  <c r="A32"/>
  <c r="U38" i="7"/>
  <c r="T38"/>
  <c r="S38"/>
  <c r="R38"/>
  <c r="Q38"/>
  <c r="P38"/>
  <c r="O38"/>
  <c r="D37" i="9"/>
  <c r="F37"/>
  <c r="E37"/>
  <c r="G37"/>
  <c r="K26" i="1" a="1"/>
  <c r="U54" i="7" l="1"/>
  <c r="S54"/>
  <c r="Q54"/>
  <c r="O54"/>
  <c r="T54"/>
  <c r="R54"/>
  <c r="V38"/>
  <c r="P55" s="1"/>
  <c r="N39"/>
  <c r="M40"/>
  <c r="N55"/>
  <c r="B39" i="9"/>
  <c r="C38"/>
  <c r="B38" i="8"/>
  <c r="A37"/>
  <c r="K105" i="1"/>
  <c r="K101"/>
  <c r="K97"/>
  <c r="K93"/>
  <c r="K89"/>
  <c r="K85"/>
  <c r="K81"/>
  <c r="K77"/>
  <c r="K73"/>
  <c r="K69"/>
  <c r="K65"/>
  <c r="K61"/>
  <c r="K57"/>
  <c r="K53"/>
  <c r="K49"/>
  <c r="K45"/>
  <c r="K41"/>
  <c r="K37"/>
  <c r="K33"/>
  <c r="K29"/>
  <c r="K106"/>
  <c r="K102"/>
  <c r="K98"/>
  <c r="K94"/>
  <c r="K90"/>
  <c r="K86"/>
  <c r="K82"/>
  <c r="K78"/>
  <c r="K74"/>
  <c r="K70"/>
  <c r="K66"/>
  <c r="K62"/>
  <c r="K58"/>
  <c r="K54"/>
  <c r="K50"/>
  <c r="K46"/>
  <c r="K42"/>
  <c r="K38"/>
  <c r="K34"/>
  <c r="K30"/>
  <c r="K26"/>
  <c r="K103"/>
  <c r="K99"/>
  <c r="K95"/>
  <c r="K91"/>
  <c r="K87"/>
  <c r="K83"/>
  <c r="K79"/>
  <c r="K75"/>
  <c r="K71"/>
  <c r="K67"/>
  <c r="K63"/>
  <c r="K59"/>
  <c r="K55"/>
  <c r="K51"/>
  <c r="K47"/>
  <c r="K43"/>
  <c r="K39"/>
  <c r="K35"/>
  <c r="K31"/>
  <c r="K27"/>
  <c r="K104"/>
  <c r="K100"/>
  <c r="K96"/>
  <c r="K92"/>
  <c r="K88"/>
  <c r="K84"/>
  <c r="K80"/>
  <c r="K76"/>
  <c r="K72"/>
  <c r="K68"/>
  <c r="K64"/>
  <c r="K60"/>
  <c r="K56"/>
  <c r="K52"/>
  <c r="K48"/>
  <c r="K44"/>
  <c r="K40"/>
  <c r="K36"/>
  <c r="K32"/>
  <c r="K28"/>
  <c r="B34"/>
  <c r="A33"/>
  <c r="U39" i="7"/>
  <c r="T39"/>
  <c r="S39"/>
  <c r="R39"/>
  <c r="Q39"/>
  <c r="P39"/>
  <c r="O39"/>
  <c r="E38" i="9"/>
  <c r="G38"/>
  <c r="D38"/>
  <c r="F38"/>
  <c r="U55" i="7" l="1"/>
  <c r="S55"/>
  <c r="Q55"/>
  <c r="O55"/>
  <c r="T55"/>
  <c r="R55"/>
  <c r="V39"/>
  <c r="O56" s="1"/>
  <c r="N56"/>
  <c r="M41"/>
  <c r="N41" s="1"/>
  <c r="N40"/>
  <c r="B40" i="9"/>
  <c r="C39"/>
  <c r="B39" i="8"/>
  <c r="A38"/>
  <c r="B35" i="1"/>
  <c r="A34"/>
  <c r="U40" i="7"/>
  <c r="T40"/>
  <c r="S40"/>
  <c r="R40"/>
  <c r="Q40"/>
  <c r="P40"/>
  <c r="O40"/>
  <c r="U41"/>
  <c r="T41"/>
  <c r="S41"/>
  <c r="R41"/>
  <c r="Q41"/>
  <c r="P41"/>
  <c r="O41"/>
  <c r="F39" i="9"/>
  <c r="D39"/>
  <c r="E39"/>
  <c r="G39"/>
  <c r="T56" i="7" l="1"/>
  <c r="R56"/>
  <c r="P56"/>
  <c r="U56"/>
  <c r="S56"/>
  <c r="Q56"/>
  <c r="V41"/>
  <c r="P58" s="1"/>
  <c r="V40"/>
  <c r="O57" s="1"/>
  <c r="N57"/>
  <c r="N58"/>
  <c r="B41" i="9"/>
  <c r="C40"/>
  <c r="B40" i="8"/>
  <c r="A39"/>
  <c r="B36" i="1"/>
  <c r="A35"/>
  <c r="E40" i="9"/>
  <c r="F40"/>
  <c r="G40"/>
  <c r="D40"/>
  <c r="T57" i="7" l="1"/>
  <c r="R57"/>
  <c r="P57"/>
  <c r="U58"/>
  <c r="S58"/>
  <c r="Q58"/>
  <c r="O58"/>
  <c r="U57"/>
  <c r="S57"/>
  <c r="Q57"/>
  <c r="T58"/>
  <c r="R58"/>
  <c r="B42" i="9"/>
  <c r="C41"/>
  <c r="B41" i="8"/>
  <c r="A40"/>
  <c r="B37" i="1"/>
  <c r="A36"/>
  <c r="D41" i="9"/>
  <c r="E41"/>
  <c r="G41"/>
  <c r="F41"/>
  <c r="B43" l="1"/>
  <c r="C42"/>
  <c r="B42" i="8"/>
  <c r="A41"/>
  <c r="B38" i="1"/>
  <c r="A37"/>
  <c r="D42" i="9"/>
  <c r="F42"/>
  <c r="E42"/>
  <c r="G42"/>
  <c r="B44" l="1"/>
  <c r="C43"/>
  <c r="B43" i="8"/>
  <c r="A42"/>
  <c r="B39" i="1"/>
  <c r="A38"/>
  <c r="G43" i="9"/>
  <c r="E43"/>
  <c r="F43"/>
  <c r="D43"/>
  <c r="B45" l="1"/>
  <c r="C44"/>
  <c r="B44" i="8"/>
  <c r="A43"/>
  <c r="B40" i="1"/>
  <c r="A39"/>
  <c r="F44" i="9"/>
  <c r="G44"/>
  <c r="D44"/>
  <c r="E44"/>
  <c r="B46" l="1"/>
  <c r="C45"/>
  <c r="B45" i="8"/>
  <c r="A44"/>
  <c r="B41" i="1"/>
  <c r="A40"/>
  <c r="E45" i="9"/>
  <c r="G45"/>
  <c r="F45"/>
  <c r="D45"/>
  <c r="B47" l="1"/>
  <c r="C46"/>
  <c r="B46" i="8"/>
  <c r="A45"/>
  <c r="B42" i="1"/>
  <c r="A41"/>
  <c r="D46" i="9"/>
  <c r="E46"/>
  <c r="G46"/>
  <c r="F46"/>
  <c r="B48" l="1"/>
  <c r="C47"/>
  <c r="B47" i="8"/>
  <c r="A46"/>
  <c r="B43" i="1"/>
  <c r="A42"/>
  <c r="G47" i="9"/>
  <c r="E47"/>
  <c r="F47"/>
  <c r="D47"/>
  <c r="B49" l="1"/>
  <c r="C48"/>
  <c r="B48" i="8"/>
  <c r="A47"/>
  <c r="B44" i="1"/>
  <c r="A43"/>
  <c r="G48" i="9"/>
  <c r="E48"/>
  <c r="D48"/>
  <c r="F48"/>
  <c r="B50" l="1"/>
  <c r="C49"/>
  <c r="B49" i="8"/>
  <c r="A48"/>
  <c r="B45" i="1"/>
  <c r="A44"/>
  <c r="D49" i="9"/>
  <c r="E49"/>
  <c r="G49"/>
  <c r="F49"/>
  <c r="B51" l="1"/>
  <c r="C50"/>
  <c r="B50" i="8"/>
  <c r="A49"/>
  <c r="B46" i="1"/>
  <c r="A45"/>
  <c r="G50" i="9"/>
  <c r="D50"/>
  <c r="F50"/>
  <c r="E50"/>
  <c r="B52" l="1"/>
  <c r="C51"/>
  <c r="B51" i="8"/>
  <c r="A50"/>
  <c r="B47" i="1"/>
  <c r="A46"/>
  <c r="G51" i="9"/>
  <c r="F51"/>
  <c r="D51"/>
  <c r="E51"/>
  <c r="B53" l="1"/>
  <c r="C52"/>
  <c r="B52" i="8"/>
  <c r="A51"/>
  <c r="B48" i="1"/>
  <c r="A47"/>
  <c r="E52" i="9"/>
  <c r="G52"/>
  <c r="D52"/>
  <c r="F52"/>
  <c r="C53" l="1"/>
  <c r="B54"/>
  <c r="B53" i="8"/>
  <c r="A52"/>
  <c r="B49" i="1"/>
  <c r="A48"/>
  <c r="E53" i="9"/>
  <c r="G53"/>
  <c r="D53"/>
  <c r="F53"/>
  <c r="B55" l="1"/>
  <c r="C54"/>
  <c r="B54" i="8"/>
  <c r="A53"/>
  <c r="B50" i="1"/>
  <c r="A49"/>
  <c r="G54" i="9"/>
  <c r="F54"/>
  <c r="E54"/>
  <c r="D54"/>
  <c r="C55" l="1"/>
  <c r="B56"/>
  <c r="B55" i="8"/>
  <c r="A54"/>
  <c r="B51" i="1"/>
  <c r="A50"/>
  <c r="F55" i="9"/>
  <c r="D55"/>
  <c r="G55"/>
  <c r="E55"/>
  <c r="C56" l="1"/>
  <c r="B57"/>
  <c r="B56" i="8"/>
  <c r="A55"/>
  <c r="B52" i="1"/>
  <c r="A51"/>
  <c r="F56" i="9"/>
  <c r="G56"/>
  <c r="E56"/>
  <c r="D56"/>
  <c r="C57" l="1"/>
  <c r="B58"/>
  <c r="B57" i="8"/>
  <c r="A56"/>
  <c r="B53" i="1"/>
  <c r="A52"/>
  <c r="F57" i="9"/>
  <c r="D57"/>
  <c r="G57"/>
  <c r="E57"/>
  <c r="C58" l="1"/>
  <c r="B59"/>
  <c r="B58" i="8"/>
  <c r="A57"/>
  <c r="B54" i="1"/>
  <c r="A53"/>
  <c r="F58" i="9"/>
  <c r="D58"/>
  <c r="E58"/>
  <c r="G58"/>
  <c r="C59" l="1"/>
  <c r="B60"/>
  <c r="B59" i="8"/>
  <c r="A58"/>
  <c r="B55" i="1"/>
  <c r="A54"/>
  <c r="D59" i="9"/>
  <c r="G59"/>
  <c r="F59"/>
  <c r="E59"/>
  <c r="C60" l="1"/>
  <c r="B61"/>
  <c r="C61" s="1"/>
  <c r="B60" i="8"/>
  <c r="A59"/>
  <c r="B56" i="1"/>
  <c r="A55"/>
  <c r="G61" i="9"/>
  <c r="G60"/>
  <c r="F61"/>
  <c r="E61"/>
  <c r="D61"/>
  <c r="E60"/>
  <c r="F60"/>
  <c r="D60"/>
  <c r="B61" i="8" l="1"/>
  <c r="A60"/>
  <c r="B57" i="1"/>
  <c r="A56"/>
  <c r="B62" i="8" l="1"/>
  <c r="A61"/>
  <c r="B58" i="1"/>
  <c r="A57"/>
  <c r="B63" i="8" l="1"/>
  <c r="A62"/>
  <c r="B59" i="1"/>
  <c r="A58"/>
  <c r="B64" i="8" l="1"/>
  <c r="A63"/>
  <c r="B60" i="1"/>
  <c r="A59"/>
  <c r="B65" i="8" l="1"/>
  <c r="A64"/>
  <c r="B61" i="1"/>
  <c r="A60"/>
  <c r="B66" i="8" l="1"/>
  <c r="A65"/>
  <c r="B62" i="1"/>
  <c r="A61"/>
  <c r="B67" i="8" l="1"/>
  <c r="A66"/>
  <c r="B63" i="1"/>
  <c r="A62"/>
  <c r="B68" i="8" l="1"/>
  <c r="A67"/>
  <c r="B64" i="1"/>
  <c r="A63"/>
  <c r="B69" i="8" l="1"/>
  <c r="A68"/>
  <c r="B65" i="1"/>
  <c r="A64"/>
  <c r="B70" i="8" l="1"/>
  <c r="A69"/>
  <c r="B66" i="1"/>
  <c r="A65"/>
  <c r="B71" i="8" l="1"/>
  <c r="A70"/>
  <c r="B67" i="1"/>
  <c r="A66"/>
  <c r="B72" i="8" l="1"/>
  <c r="A71"/>
  <c r="B68" i="1"/>
  <c r="A67"/>
  <c r="B73" i="8" l="1"/>
  <c r="A72"/>
  <c r="B69" i="1"/>
  <c r="A68"/>
  <c r="B74" i="8" l="1"/>
  <c r="A73"/>
  <c r="B70" i="1"/>
  <c r="A69"/>
  <c r="B75" i="8" l="1"/>
  <c r="A74"/>
  <c r="B71" i="1"/>
  <c r="A70"/>
  <c r="B76" i="8" l="1"/>
  <c r="A75"/>
  <c r="B72" i="1"/>
  <c r="A71"/>
  <c r="B77" i="8" l="1"/>
  <c r="A76"/>
  <c r="B73" i="1"/>
  <c r="A72"/>
  <c r="B78" i="8" l="1"/>
  <c r="A77"/>
  <c r="B74" i="1"/>
  <c r="A73"/>
  <c r="B79" i="8" l="1"/>
  <c r="A78"/>
  <c r="B75" i="1"/>
  <c r="A74"/>
  <c r="B80" i="8" l="1"/>
  <c r="A79"/>
  <c r="B76" i="1"/>
  <c r="A75"/>
  <c r="B81" i="8" l="1"/>
  <c r="A80"/>
  <c r="B77" i="1"/>
  <c r="A76"/>
  <c r="B82" i="8" l="1"/>
  <c r="A81"/>
  <c r="B78" i="1"/>
  <c r="A77"/>
  <c r="B83" i="8" l="1"/>
  <c r="A82"/>
  <c r="B79" i="1"/>
  <c r="A78"/>
  <c r="B84" i="8" l="1"/>
  <c r="A83"/>
  <c r="B80" i="1"/>
  <c r="A79"/>
  <c r="B85" i="8" l="1"/>
  <c r="A84"/>
  <c r="B81" i="1"/>
  <c r="A80"/>
  <c r="B86" i="8" l="1"/>
  <c r="A85"/>
  <c r="B82" i="1"/>
  <c r="A81"/>
  <c r="B87" i="8" l="1"/>
  <c r="A86"/>
  <c r="B83" i="1"/>
  <c r="A82"/>
  <c r="B88" i="8" l="1"/>
  <c r="A87"/>
  <c r="B84" i="1"/>
  <c r="A83"/>
  <c r="B89" i="8" l="1"/>
  <c r="A88"/>
  <c r="B85" i="1"/>
  <c r="A84"/>
  <c r="B90" i="8" l="1"/>
  <c r="A89"/>
  <c r="B86" i="1"/>
  <c r="A85"/>
  <c r="B91" i="8" l="1"/>
  <c r="A90"/>
  <c r="B87" i="1"/>
  <c r="A86"/>
  <c r="B92" i="8" l="1"/>
  <c r="A91"/>
  <c r="B88" i="1"/>
  <c r="A87"/>
  <c r="B93" i="8" l="1"/>
  <c r="A92"/>
  <c r="B89" i="1"/>
  <c r="A88"/>
  <c r="B94" i="8" l="1"/>
  <c r="A93"/>
  <c r="B90" i="1"/>
  <c r="A89"/>
  <c r="B95" i="8" l="1"/>
  <c r="A94"/>
  <c r="B91" i="1"/>
  <c r="A90"/>
  <c r="B96" i="8" l="1"/>
  <c r="A95"/>
  <c r="B92" i="1"/>
  <c r="A91"/>
  <c r="B97" i="8" l="1"/>
  <c r="A96"/>
  <c r="B93" i="1"/>
  <c r="A92"/>
  <c r="B98" i="8" l="1"/>
  <c r="A97"/>
  <c r="B94" i="1"/>
  <c r="A93"/>
  <c r="B99" i="8" l="1"/>
  <c r="A98"/>
  <c r="B95" i="1"/>
  <c r="A94"/>
  <c r="B100" i="8" l="1"/>
  <c r="A99"/>
  <c r="B96" i="1"/>
  <c r="A95"/>
  <c r="B101" i="8" l="1"/>
  <c r="A100"/>
  <c r="B97" i="1"/>
  <c r="A96"/>
  <c r="B102" i="8" l="1"/>
  <c r="A101"/>
  <c r="B98" i="1"/>
  <c r="A97"/>
  <c r="B103" i="8" l="1"/>
  <c r="A102"/>
  <c r="B99" i="1"/>
  <c r="A98"/>
  <c r="B104" i="8" l="1"/>
  <c r="A103"/>
  <c r="B100" i="1"/>
  <c r="A99"/>
  <c r="B105" i="8" l="1"/>
  <c r="A104"/>
  <c r="B101" i="1"/>
  <c r="A100"/>
  <c r="B106" i="8" l="1"/>
  <c r="A105"/>
  <c r="B102" i="1"/>
  <c r="A101"/>
  <c r="A106" i="8" l="1"/>
  <c r="B103" i="1"/>
  <c r="A102"/>
  <c r="B104" l="1"/>
  <c r="A103"/>
  <c r="B105" l="1"/>
  <c r="A104"/>
  <c r="B106" l="1"/>
  <c r="A105"/>
  <c r="A106" l="1"/>
  <c r="E3" i="8"/>
  <c r="E2" s="1"/>
  <c r="E16"/>
  <c r="E17" s="1"/>
  <c r="W10"/>
  <c r="W11" s="1"/>
  <c r="X11" l="1"/>
  <c r="X12" s="1"/>
  <c r="E18"/>
  <c r="Y9"/>
  <c r="F26" a="1"/>
  <c r="E26" a="1"/>
  <c r="X15" l="1"/>
  <c r="W16" s="1"/>
  <c r="E89"/>
  <c r="E57"/>
  <c r="E106"/>
  <c r="E74"/>
  <c r="E42"/>
  <c r="E91"/>
  <c r="E59"/>
  <c r="E27"/>
  <c r="E76"/>
  <c r="E44"/>
  <c r="E93"/>
  <c r="E61"/>
  <c r="E29"/>
  <c r="E78"/>
  <c r="E30"/>
  <c r="E31"/>
  <c r="E48"/>
  <c r="E81"/>
  <c r="E49"/>
  <c r="E98"/>
  <c r="E66"/>
  <c r="E34"/>
  <c r="E83"/>
  <c r="E51"/>
  <c r="E100"/>
  <c r="E68"/>
  <c r="E36"/>
  <c r="E85"/>
  <c r="E53"/>
  <c r="E102"/>
  <c r="E70"/>
  <c r="E38"/>
  <c r="E87"/>
  <c r="E55"/>
  <c r="E104"/>
  <c r="E72"/>
  <c r="E40"/>
  <c r="E95"/>
  <c r="E47"/>
  <c r="E64"/>
  <c r="E105"/>
  <c r="E73"/>
  <c r="E41"/>
  <c r="E90"/>
  <c r="E58"/>
  <c r="E26"/>
  <c r="E75"/>
  <c r="E43"/>
  <c r="E92"/>
  <c r="E60"/>
  <c r="E28"/>
  <c r="E77"/>
  <c r="E45"/>
  <c r="E94"/>
  <c r="E62"/>
  <c r="E79"/>
  <c r="E80"/>
  <c r="E97"/>
  <c r="E65"/>
  <c r="E33"/>
  <c r="E82"/>
  <c r="E50"/>
  <c r="E99"/>
  <c r="E67"/>
  <c r="E35"/>
  <c r="E84"/>
  <c r="E52"/>
  <c r="E101"/>
  <c r="E69"/>
  <c r="E37"/>
  <c r="E86"/>
  <c r="E54"/>
  <c r="E103"/>
  <c r="E71"/>
  <c r="E39"/>
  <c r="E88"/>
  <c r="E56"/>
  <c r="E46"/>
  <c r="E63"/>
  <c r="E96"/>
  <c r="E32"/>
  <c r="F103"/>
  <c r="F99"/>
  <c r="F95"/>
  <c r="F91"/>
  <c r="F87"/>
  <c r="F83"/>
  <c r="F79"/>
  <c r="F75"/>
  <c r="F71"/>
  <c r="F67"/>
  <c r="F63"/>
  <c r="F59"/>
  <c r="F55"/>
  <c r="F51"/>
  <c r="F47"/>
  <c r="F43"/>
  <c r="F39"/>
  <c r="F35"/>
  <c r="F31"/>
  <c r="F27"/>
  <c r="F104"/>
  <c r="F100"/>
  <c r="F96"/>
  <c r="F92"/>
  <c r="F88"/>
  <c r="F84"/>
  <c r="F80"/>
  <c r="F76"/>
  <c r="F72"/>
  <c r="F68"/>
  <c r="F64"/>
  <c r="F60"/>
  <c r="F56"/>
  <c r="F52"/>
  <c r="F48"/>
  <c r="F44"/>
  <c r="F40"/>
  <c r="F36"/>
  <c r="F32"/>
  <c r="F28"/>
  <c r="F101"/>
  <c r="F93"/>
  <c r="F85"/>
  <c r="F77"/>
  <c r="F69"/>
  <c r="F61"/>
  <c r="F53"/>
  <c r="F45"/>
  <c r="F37"/>
  <c r="F29"/>
  <c r="F102"/>
  <c r="F94"/>
  <c r="F86"/>
  <c r="F78"/>
  <c r="F70"/>
  <c r="F62"/>
  <c r="F54"/>
  <c r="F46"/>
  <c r="F38"/>
  <c r="F30"/>
  <c r="F105"/>
  <c r="F97"/>
  <c r="F89"/>
  <c r="F81"/>
  <c r="F73"/>
  <c r="F65"/>
  <c r="F57"/>
  <c r="F49"/>
  <c r="F41"/>
  <c r="F33"/>
  <c r="F106"/>
  <c r="F98"/>
  <c r="F90"/>
  <c r="F82"/>
  <c r="F74"/>
  <c r="F66"/>
  <c r="F58"/>
  <c r="F50"/>
  <c r="F42"/>
  <c r="F34"/>
  <c r="F26"/>
  <c r="F3"/>
  <c r="F2" s="1"/>
  <c r="AA9"/>
  <c r="AA10"/>
  <c r="G26" a="1"/>
  <c r="G105" l="1"/>
  <c r="G101"/>
  <c r="G97"/>
  <c r="G93"/>
  <c r="G89"/>
  <c r="G85"/>
  <c r="G81"/>
  <c r="G77"/>
  <c r="G73"/>
  <c r="G69"/>
  <c r="G65"/>
  <c r="G61"/>
  <c r="G57"/>
  <c r="G53"/>
  <c r="G49"/>
  <c r="G45"/>
  <c r="G41"/>
  <c r="G37"/>
  <c r="G33"/>
  <c r="G29"/>
  <c r="G106"/>
  <c r="G102"/>
  <c r="G98"/>
  <c r="G94"/>
  <c r="G90"/>
  <c r="G86"/>
  <c r="G82"/>
  <c r="G78"/>
  <c r="G74"/>
  <c r="G70"/>
  <c r="G66"/>
  <c r="G62"/>
  <c r="G58"/>
  <c r="G54"/>
  <c r="G50"/>
  <c r="G46"/>
  <c r="G42"/>
  <c r="G38"/>
  <c r="G34"/>
  <c r="G30"/>
  <c r="G26"/>
  <c r="G99"/>
  <c r="G91"/>
  <c r="G83"/>
  <c r="G75"/>
  <c r="G67"/>
  <c r="G59"/>
  <c r="G51"/>
  <c r="G43"/>
  <c r="G35"/>
  <c r="G27"/>
  <c r="G100"/>
  <c r="G92"/>
  <c r="G84"/>
  <c r="G76"/>
  <c r="G68"/>
  <c r="G60"/>
  <c r="G52"/>
  <c r="G44"/>
  <c r="G36"/>
  <c r="G28"/>
  <c r="G103"/>
  <c r="G95"/>
  <c r="G87"/>
  <c r="G79"/>
  <c r="G71"/>
  <c r="G63"/>
  <c r="G55"/>
  <c r="G47"/>
  <c r="G39"/>
  <c r="G31"/>
  <c r="G104"/>
  <c r="G96"/>
  <c r="G88"/>
  <c r="G80"/>
  <c r="G72"/>
  <c r="G64"/>
  <c r="G56"/>
  <c r="G48"/>
  <c r="G40"/>
  <c r="G32"/>
  <c r="G3"/>
  <c r="G2" s="1"/>
  <c r="H26" a="1"/>
  <c r="H104" l="1"/>
  <c r="H100"/>
  <c r="H96"/>
  <c r="H92"/>
  <c r="H88"/>
  <c r="H84"/>
  <c r="H80"/>
  <c r="H99"/>
  <c r="H91"/>
  <c r="H83"/>
  <c r="H77"/>
  <c r="H73"/>
  <c r="H69"/>
  <c r="H65"/>
  <c r="H61"/>
  <c r="H57"/>
  <c r="H53"/>
  <c r="H49"/>
  <c r="H45"/>
  <c r="H41"/>
  <c r="H37"/>
  <c r="H33"/>
  <c r="H29"/>
  <c r="H105"/>
  <c r="H97"/>
  <c r="H89"/>
  <c r="H81"/>
  <c r="H76"/>
  <c r="H72"/>
  <c r="H68"/>
  <c r="H64"/>
  <c r="H60"/>
  <c r="H56"/>
  <c r="H52"/>
  <c r="H48"/>
  <c r="H44"/>
  <c r="H40"/>
  <c r="H36"/>
  <c r="H32"/>
  <c r="H28"/>
  <c r="H106"/>
  <c r="H98"/>
  <c r="H90"/>
  <c r="H82"/>
  <c r="H95"/>
  <c r="H79"/>
  <c r="H71"/>
  <c r="H63"/>
  <c r="H55"/>
  <c r="H47"/>
  <c r="H39"/>
  <c r="H31"/>
  <c r="H101"/>
  <c r="H85"/>
  <c r="H74"/>
  <c r="H66"/>
  <c r="H58"/>
  <c r="H50"/>
  <c r="H42"/>
  <c r="H34"/>
  <c r="H26"/>
  <c r="H102"/>
  <c r="H94"/>
  <c r="H86"/>
  <c r="H103"/>
  <c r="H87"/>
  <c r="H75"/>
  <c r="H67"/>
  <c r="H59"/>
  <c r="H51"/>
  <c r="H43"/>
  <c r="H35"/>
  <c r="H27"/>
  <c r="H93"/>
  <c r="H78"/>
  <c r="H70"/>
  <c r="H62"/>
  <c r="H54"/>
  <c r="H46"/>
  <c r="H38"/>
  <c r="H30"/>
  <c r="H3"/>
  <c r="H2" s="1"/>
  <c r="I26" a="1"/>
  <c r="I106" l="1"/>
  <c r="I102"/>
  <c r="I98"/>
  <c r="I94"/>
  <c r="I90"/>
  <c r="I86"/>
  <c r="I82"/>
  <c r="I78"/>
  <c r="I74"/>
  <c r="I70"/>
  <c r="I66"/>
  <c r="I62"/>
  <c r="I58"/>
  <c r="I54"/>
  <c r="I50"/>
  <c r="I46"/>
  <c r="I42"/>
  <c r="I38"/>
  <c r="I34"/>
  <c r="I30"/>
  <c r="I26"/>
  <c r="I101"/>
  <c r="I93"/>
  <c r="I85"/>
  <c r="I77"/>
  <c r="I69"/>
  <c r="I61"/>
  <c r="I53"/>
  <c r="I45"/>
  <c r="I37"/>
  <c r="I29"/>
  <c r="I99"/>
  <c r="I91"/>
  <c r="I83"/>
  <c r="I75"/>
  <c r="I67"/>
  <c r="I59"/>
  <c r="I51"/>
  <c r="I43"/>
  <c r="I35"/>
  <c r="I27"/>
  <c r="I104"/>
  <c r="I96"/>
  <c r="I88"/>
  <c r="I80"/>
  <c r="I72"/>
  <c r="I64"/>
  <c r="I56"/>
  <c r="I48"/>
  <c r="I40"/>
  <c r="I32"/>
  <c r="I105"/>
  <c r="I89"/>
  <c r="I73"/>
  <c r="I57"/>
  <c r="I41"/>
  <c r="I103"/>
  <c r="I87"/>
  <c r="I71"/>
  <c r="I55"/>
  <c r="I39"/>
  <c r="I100"/>
  <c r="I92"/>
  <c r="I84"/>
  <c r="I76"/>
  <c r="I68"/>
  <c r="I60"/>
  <c r="I52"/>
  <c r="I44"/>
  <c r="I36"/>
  <c r="I28"/>
  <c r="I97"/>
  <c r="I81"/>
  <c r="I65"/>
  <c r="I49"/>
  <c r="I33"/>
  <c r="I95"/>
  <c r="I79"/>
  <c r="I63"/>
  <c r="I47"/>
  <c r="I31"/>
  <c r="I3"/>
  <c r="I2" s="1"/>
  <c r="J26" a="1"/>
  <c r="J105" l="1"/>
  <c r="J101"/>
  <c r="J97"/>
  <c r="J93"/>
  <c r="J89"/>
  <c r="J85"/>
  <c r="J81"/>
  <c r="J77"/>
  <c r="J73"/>
  <c r="J69"/>
  <c r="J65"/>
  <c r="J61"/>
  <c r="J57"/>
  <c r="J53"/>
  <c r="J49"/>
  <c r="J45"/>
  <c r="J41"/>
  <c r="J37"/>
  <c r="J33"/>
  <c r="J104"/>
  <c r="J100"/>
  <c r="J96"/>
  <c r="J92"/>
  <c r="J88"/>
  <c r="J84"/>
  <c r="J80"/>
  <c r="J76"/>
  <c r="J72"/>
  <c r="J68"/>
  <c r="J64"/>
  <c r="J60"/>
  <c r="J56"/>
  <c r="J52"/>
  <c r="J48"/>
  <c r="J44"/>
  <c r="J40"/>
  <c r="J36"/>
  <c r="J32"/>
  <c r="J28"/>
  <c r="J31"/>
  <c r="J29"/>
  <c r="J103"/>
  <c r="J95"/>
  <c r="J87"/>
  <c r="J79"/>
  <c r="J71"/>
  <c r="J63"/>
  <c r="J55"/>
  <c r="J47"/>
  <c r="J39"/>
  <c r="J106"/>
  <c r="J98"/>
  <c r="J90"/>
  <c r="J82"/>
  <c r="J74"/>
  <c r="J66"/>
  <c r="J58"/>
  <c r="J50"/>
  <c r="J42"/>
  <c r="J34"/>
  <c r="J26"/>
  <c r="J99"/>
  <c r="J91"/>
  <c r="J83"/>
  <c r="J75"/>
  <c r="J67"/>
  <c r="J59"/>
  <c r="J51"/>
  <c r="J43"/>
  <c r="J35"/>
  <c r="J102"/>
  <c r="J94"/>
  <c r="J86"/>
  <c r="J78"/>
  <c r="J70"/>
  <c r="J62"/>
  <c r="J54"/>
  <c r="J46"/>
  <c r="J38"/>
  <c r="J30"/>
  <c r="J27"/>
  <c r="J3"/>
  <c r="J2" s="1"/>
  <c r="K26" a="1"/>
  <c r="K103" l="1"/>
  <c r="K99"/>
  <c r="K95"/>
  <c r="K91"/>
  <c r="K87"/>
  <c r="K83"/>
  <c r="K79"/>
  <c r="K75"/>
  <c r="K71"/>
  <c r="K67"/>
  <c r="K63"/>
  <c r="K59"/>
  <c r="K55"/>
  <c r="K51"/>
  <c r="K47"/>
  <c r="K43"/>
  <c r="K39"/>
  <c r="K35"/>
  <c r="K31"/>
  <c r="K27"/>
  <c r="K104"/>
  <c r="K100"/>
  <c r="K96"/>
  <c r="K92"/>
  <c r="K88"/>
  <c r="K84"/>
  <c r="K80"/>
  <c r="K76"/>
  <c r="K72"/>
  <c r="K68"/>
  <c r="K64"/>
  <c r="K60"/>
  <c r="K56"/>
  <c r="K52"/>
  <c r="K48"/>
  <c r="K44"/>
  <c r="K40"/>
  <c r="K36"/>
  <c r="K32"/>
  <c r="K28"/>
  <c r="K101"/>
  <c r="K97"/>
  <c r="K93"/>
  <c r="K89"/>
  <c r="K85"/>
  <c r="K81"/>
  <c r="K77"/>
  <c r="K73"/>
  <c r="K69"/>
  <c r="K65"/>
  <c r="K61"/>
  <c r="K57"/>
  <c r="K53"/>
  <c r="K105"/>
  <c r="K45"/>
  <c r="K37"/>
  <c r="K29"/>
  <c r="K102"/>
  <c r="K94"/>
  <c r="K86"/>
  <c r="K78"/>
  <c r="K70"/>
  <c r="K62"/>
  <c r="K54"/>
  <c r="K46"/>
  <c r="K38"/>
  <c r="K30"/>
  <c r="K49"/>
  <c r="K41"/>
  <c r="K33"/>
  <c r="K106"/>
  <c r="K98"/>
  <c r="K90"/>
  <c r="K82"/>
  <c r="K74"/>
  <c r="K66"/>
  <c r="K58"/>
  <c r="K50"/>
  <c r="K42"/>
  <c r="K34"/>
  <c r="K26"/>
  <c r="K3"/>
  <c r="K2" s="1"/>
</calcChain>
</file>

<file path=xl/comments1.xml><?xml version="1.0" encoding="utf-8"?>
<comments xmlns="http://schemas.openxmlformats.org/spreadsheetml/2006/main">
  <authors>
    <author>arroyone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arroyone:</t>
        </r>
        <r>
          <rPr>
            <sz val="8"/>
            <color indexed="81"/>
            <rFont val="Tahoma"/>
            <family val="2"/>
          </rPr>
          <t xml:space="preserve">
If dual porosity model the use fracture permeability not matrix permeability</t>
        </r>
      </text>
    </comment>
    <comment ref="C9" authorId="0">
      <text>
        <r>
          <rPr>
            <b/>
            <sz val="8"/>
            <color indexed="81"/>
            <rFont val="Tahoma"/>
            <family val="2"/>
          </rPr>
          <t>arroyone:</t>
        </r>
        <r>
          <rPr>
            <sz val="8"/>
            <color indexed="81"/>
            <rFont val="Tahoma"/>
            <family val="2"/>
          </rPr>
          <t xml:space="preserve">
If dual porosity model use fracture porosity no matrix porosity</t>
        </r>
      </text>
    </comment>
  </commentList>
</comments>
</file>

<file path=xl/comments2.xml><?xml version="1.0" encoding="utf-8"?>
<comments xmlns="http://schemas.openxmlformats.org/spreadsheetml/2006/main">
  <authors>
    <author>arroyone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arroyone:</t>
        </r>
        <r>
          <rPr>
            <sz val="8"/>
            <color indexed="81"/>
            <rFont val="Tahoma"/>
            <family val="2"/>
          </rPr>
          <t xml:space="preserve">
If dual porosity model the use fracture permeability not matrix permeability</t>
        </r>
      </text>
    </comment>
    <comment ref="C9" authorId="0">
      <text>
        <r>
          <rPr>
            <b/>
            <sz val="8"/>
            <color indexed="81"/>
            <rFont val="Tahoma"/>
            <family val="2"/>
          </rPr>
          <t>arroyone:</t>
        </r>
        <r>
          <rPr>
            <sz val="8"/>
            <color indexed="81"/>
            <rFont val="Tahoma"/>
            <family val="2"/>
          </rPr>
          <t xml:space="preserve">
If dual porosity model use fracture porosity no matrix porosity</t>
        </r>
      </text>
    </comment>
  </commentList>
</comments>
</file>

<file path=xl/sharedStrings.xml><?xml version="1.0" encoding="utf-8"?>
<sst xmlns="http://schemas.openxmlformats.org/spreadsheetml/2006/main" count="291" uniqueCount="57">
  <si>
    <t>Well Name</t>
  </si>
  <si>
    <t>Initial Pressure (Pi)</t>
  </si>
  <si>
    <t>psi</t>
  </si>
  <si>
    <t>Average Flowing Pressure (Pwf)</t>
  </si>
  <si>
    <t xml:space="preserve">Permeability (k) </t>
  </si>
  <si>
    <t>md</t>
  </si>
  <si>
    <t>Porosity (phi)</t>
  </si>
  <si>
    <t>%</t>
  </si>
  <si>
    <t>Fluid Viscosity (nu)</t>
  </si>
  <si>
    <t>cp</t>
  </si>
  <si>
    <t>Total Compresibility (ct)</t>
  </si>
  <si>
    <t>1/psi</t>
  </si>
  <si>
    <t>Formation Volume Factor (Bo)</t>
  </si>
  <si>
    <t>rbbl/stb</t>
  </si>
  <si>
    <t>Net Thickness (h)</t>
  </si>
  <si>
    <t>ft</t>
  </si>
  <si>
    <t>Fracture Half Length (xf)</t>
  </si>
  <si>
    <t>Reservoir Size (Xe)</t>
  </si>
  <si>
    <t>Reservoir Size (Ye)</t>
  </si>
  <si>
    <t>Well Location (Xw)</t>
  </si>
  <si>
    <t>Well Location (Yw)</t>
  </si>
  <si>
    <t>Skin</t>
  </si>
  <si>
    <t>Wellbore Storage</t>
  </si>
  <si>
    <t>Dual Porosity / Matrix Storativity (omega)</t>
  </si>
  <si>
    <t>use 1 (Dual Porosity not ready)</t>
  </si>
  <si>
    <t>Dual Porosity / Transfer Coeficient (lambda)</t>
  </si>
  <si>
    <t>Time Days</t>
  </si>
  <si>
    <t>Equally spaced Logarithmically</t>
  </si>
  <si>
    <t>Years</t>
  </si>
  <si>
    <t>Wellbore Radious</t>
  </si>
  <si>
    <t>Equivalent Wellbore Radious</t>
  </si>
  <si>
    <t>Generic Hugoton Well</t>
  </si>
  <si>
    <t>Area</t>
  </si>
  <si>
    <t>Acre</t>
  </si>
  <si>
    <t>Equivalent Drainage Radious</t>
  </si>
  <si>
    <t>reD</t>
  </si>
  <si>
    <t>use 1 for homogeneous</t>
  </si>
  <si>
    <t>use infinity for homogeneous</t>
  </si>
  <si>
    <t>Reservoir Geometry</t>
  </si>
  <si>
    <t>Well Location</t>
  </si>
  <si>
    <t>Fracture Geometry</t>
  </si>
  <si>
    <t>Xw</t>
  </si>
  <si>
    <t>Yw</t>
  </si>
  <si>
    <t>Xe</t>
  </si>
  <si>
    <t>Ye</t>
  </si>
  <si>
    <t>Acres</t>
  </si>
  <si>
    <t>Select Scenario to plot</t>
  </si>
  <si>
    <t>&lt;--- EUR</t>
  </si>
  <si>
    <t>Ye/Xe Ratio</t>
  </si>
  <si>
    <t>tD</t>
  </si>
  <si>
    <t>XeD</t>
  </si>
  <si>
    <t>yeD</t>
  </si>
  <si>
    <t>xwD</t>
  </si>
  <si>
    <t>ywD</t>
  </si>
  <si>
    <t>qD</t>
  </si>
  <si>
    <t>k/Xf</t>
  </si>
  <si>
    <t>Min(EUR)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</si>
</sst>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0" fillId="2" borderId="0" xfId="0" applyFill="1"/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center" wrapText="1"/>
    </xf>
    <xf numFmtId="0" fontId="0" fillId="3" borderId="0" xfId="0" applyFill="1" applyAlignment="1">
      <alignment horizontal="center"/>
    </xf>
    <xf numFmtId="1" fontId="0" fillId="0" borderId="0" xfId="0" applyNumberFormat="1"/>
    <xf numFmtId="11" fontId="0" fillId="0" borderId="0" xfId="0" applyNumberFormat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0" fillId="4" borderId="0" xfId="0" applyFill="1" applyAlignment="1"/>
    <xf numFmtId="0" fontId="0" fillId="5" borderId="0" xfId="0" applyFill="1" applyAlignment="1">
      <alignment horizontal="center"/>
    </xf>
    <xf numFmtId="3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11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0826504814646992"/>
          <c:y val="5.9258895226618064E-2"/>
          <c:w val="0.84626974217316164"/>
          <c:h val="0.77223989165439921"/>
        </c:manualLayout>
      </c:layout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SensChanelWidth!$D$26:$D$106</c:f>
              <c:numCache>
                <c:formatCode>0.0</c:formatCode>
                <c:ptCount val="81"/>
                <c:pt idx="0">
                  <c:v>0.79432823472428149</c:v>
                </c:pt>
                <c:pt idx="1">
                  <c:v>0.90157113760595697</c:v>
                </c:pt>
                <c:pt idx="2">
                  <c:v>1.0232929922807541</c:v>
                </c:pt>
                <c:pt idx="3">
                  <c:v>1.1614486138403428</c:v>
                </c:pt>
                <c:pt idx="4">
                  <c:v>1.3182567385564072</c:v>
                </c:pt>
                <c:pt idx="5">
                  <c:v>1.4962356560944334</c:v>
                </c:pt>
                <c:pt idx="6">
                  <c:v>1.6982436524617444</c:v>
                </c:pt>
                <c:pt idx="7">
                  <c:v>1.9275249131909362</c:v>
                </c:pt>
                <c:pt idx="8">
                  <c:v>2.1877616239495525</c:v>
                </c:pt>
                <c:pt idx="9">
                  <c:v>2.4831331052955701</c:v>
                </c:pt>
                <c:pt idx="10">
                  <c:v>2.8183829312644537</c:v>
                </c:pt>
                <c:pt idx="11">
                  <c:v>3.198895109691398</c:v>
                </c:pt>
                <c:pt idx="12">
                  <c:v>3.630780547701014</c:v>
                </c:pt>
                <c:pt idx="13">
                  <c:v>4.1209751909733034</c:v>
                </c:pt>
                <c:pt idx="14">
                  <c:v>4.6773514128719844</c:v>
                </c:pt>
                <c:pt idx="15">
                  <c:v>5.3088444423098871</c:v>
                </c:pt>
                <c:pt idx="16">
                  <c:v>6.0255958607435822</c:v>
                </c:pt>
                <c:pt idx="17">
                  <c:v>6.8391164728142995</c:v>
                </c:pt>
                <c:pt idx="18">
                  <c:v>7.7624711662869235</c:v>
                </c:pt>
                <c:pt idx="19">
                  <c:v>8.8104887300801522</c:v>
                </c:pt>
                <c:pt idx="20">
                  <c:v>10.000000000000011</c:v>
                </c:pt>
                <c:pt idx="21">
                  <c:v>11.350108156723163</c:v>
                </c:pt>
                <c:pt idx="22">
                  <c:v>12.882495516931352</c:v>
                </c:pt>
                <c:pt idx="23">
                  <c:v>14.621771744567194</c:v>
                </c:pt>
                <c:pt idx="24">
                  <c:v>16.595869074375621</c:v>
                </c:pt>
                <c:pt idx="25">
                  <c:v>18.83649089489802</c:v>
                </c:pt>
                <c:pt idx="26">
                  <c:v>21.379620895022335</c:v>
                </c:pt>
                <c:pt idx="27">
                  <c:v>24.266100950824168</c:v>
                </c:pt>
                <c:pt idx="28">
                  <c:v>27.542287033381665</c:v>
                </c:pt>
                <c:pt idx="29">
                  <c:v>31.260793671239547</c:v>
                </c:pt>
                <c:pt idx="30">
                  <c:v>35.481338923357541</c:v>
                </c:pt>
                <c:pt idx="31">
                  <c:v>40.271703432545898</c:v>
                </c:pt>
                <c:pt idx="32">
                  <c:v>45.708818961487488</c:v>
                </c:pt>
                <c:pt idx="33">
                  <c:v>51.880003892896092</c:v>
                </c:pt>
                <c:pt idx="34">
                  <c:v>58.884365535558842</c:v>
                </c:pt>
                <c:pt idx="35">
                  <c:v>66.834391756861422</c:v>
                </c:pt>
                <c:pt idx="36">
                  <c:v>75.85775750291829</c:v>
                </c:pt>
                <c:pt idx="37">
                  <c:v>86.099375218459997</c:v>
                </c:pt>
                <c:pt idx="38">
                  <c:v>97.723722095580953</c:v>
                </c:pt>
                <c:pt idx="39">
                  <c:v>110.91748152624001</c:v>
                </c:pt>
                <c:pt idx="40">
                  <c:v>125.89254117941665</c:v>
                </c:pt>
                <c:pt idx="41">
                  <c:v>142.88939585111027</c:v>
                </c:pt>
                <c:pt idx="42">
                  <c:v>162.18100973589304</c:v>
                </c:pt>
                <c:pt idx="43">
                  <c:v>184.07720014689568</c:v>
                </c:pt>
                <c:pt idx="44">
                  <c:v>208.92961308540416</c:v>
                </c:pt>
                <c:pt idx="45">
                  <c:v>237.13737056616583</c:v>
                </c:pt>
                <c:pt idx="46">
                  <c:v>269.15348039269202</c:v>
                </c:pt>
                <c:pt idx="47">
                  <c:v>305.49211132155193</c:v>
                </c:pt>
                <c:pt idx="48">
                  <c:v>346.73685045253245</c:v>
                </c:pt>
                <c:pt idx="49">
                  <c:v>393.55007545577854</c:v>
                </c:pt>
                <c:pt idx="50">
                  <c:v>446.6835921509645</c:v>
                </c:pt>
                <c:pt idx="51">
                  <c:v>506.99070827470609</c:v>
                </c:pt>
                <c:pt idx="52">
                  <c:v>575.43993733715911</c:v>
                </c:pt>
                <c:pt idx="53">
                  <c:v>653.13055264747504</c:v>
                </c:pt>
                <c:pt idx="54">
                  <c:v>741.31024130092089</c:v>
                </c:pt>
                <c:pt idx="55">
                  <c:v>841.39514164519926</c:v>
                </c:pt>
                <c:pt idx="56">
                  <c:v>954.99258602144096</c:v>
                </c:pt>
                <c:pt idx="57">
                  <c:v>1083.9269140212107</c:v>
                </c:pt>
                <c:pt idx="58">
                  <c:v>1230.2687708123901</c:v>
                </c:pt>
                <c:pt idx="59">
                  <c:v>1396.3683610559478</c:v>
                </c:pt>
                <c:pt idx="60">
                  <c:v>1584.8931924611256</c:v>
                </c:pt>
                <c:pt idx="61">
                  <c:v>1798.8709151288022</c:v>
                </c:pt>
                <c:pt idx="62">
                  <c:v>2041.7379446695463</c:v>
                </c:pt>
                <c:pt idx="63">
                  <c:v>2317.3946499684989</c:v>
                </c:pt>
                <c:pt idx="64">
                  <c:v>2630.2679918954059</c:v>
                </c:pt>
                <c:pt idx="65">
                  <c:v>2985.3826189179877</c:v>
                </c:pt>
                <c:pt idx="66">
                  <c:v>3388.4415613920555</c:v>
                </c:pt>
                <c:pt idx="67">
                  <c:v>3845.9178204535747</c:v>
                </c:pt>
                <c:pt idx="68">
                  <c:v>4365.1583224017013</c:v>
                </c:pt>
                <c:pt idx="69">
                  <c:v>4954.501908047956</c:v>
                </c:pt>
                <c:pt idx="70">
                  <c:v>5623.4132519035493</c:v>
                </c:pt>
                <c:pt idx="71">
                  <c:v>6382.6348619055607</c:v>
                </c:pt>
                <c:pt idx="72">
                  <c:v>7244.3596007499809</c:v>
                </c:pt>
                <c:pt idx="73">
                  <c:v>8222.4264994708137</c:v>
                </c:pt>
                <c:pt idx="74">
                  <c:v>9332.54300797002</c:v>
                </c:pt>
                <c:pt idx="75">
                  <c:v>10592.537251773008</c:v>
                </c:pt>
                <c:pt idx="76">
                  <c:v>12022.644346174258</c:v>
                </c:pt>
                <c:pt idx="77">
                  <c:v>13645.831365889386</c:v>
                </c:pt>
                <c:pt idx="78">
                  <c:v>15488.166189124964</c:v>
                </c:pt>
                <c:pt idx="79">
                  <c:v>17579.236139587087</c:v>
                </c:pt>
                <c:pt idx="80">
                  <c:v>19952.62314968897</c:v>
                </c:pt>
              </c:numCache>
            </c:numRef>
          </c:xVal>
          <c:yVal>
            <c:numRef>
              <c:f>SensChanelWidth!$E$26:$E$106</c:f>
              <c:numCache>
                <c:formatCode>0.0</c:formatCode>
                <c:ptCount val="81"/>
                <c:pt idx="0">
                  <c:v>45.169766388101984</c:v>
                </c:pt>
                <c:pt idx="1">
                  <c:v>44.328005524645896</c:v>
                </c:pt>
                <c:pt idx="2">
                  <c:v>43.515204740651555</c:v>
                </c:pt>
                <c:pt idx="3">
                  <c:v>42.729885712889519</c:v>
                </c:pt>
                <c:pt idx="4">
                  <c:v>41.970801188526913</c:v>
                </c:pt>
                <c:pt idx="5">
                  <c:v>41.236743467563741</c:v>
                </c:pt>
                <c:pt idx="6">
                  <c:v>40.526563059065161</c:v>
                </c:pt>
                <c:pt idx="7">
                  <c:v>39.839160468413603</c:v>
                </c:pt>
                <c:pt idx="8">
                  <c:v>39.1735265154391</c:v>
                </c:pt>
                <c:pt idx="9">
                  <c:v>38.528708304815865</c:v>
                </c:pt>
                <c:pt idx="10">
                  <c:v>37.903741392917851</c:v>
                </c:pt>
                <c:pt idx="11">
                  <c:v>37.297861391359781</c:v>
                </c:pt>
                <c:pt idx="12">
                  <c:v>36.707673027053829</c:v>
                </c:pt>
                <c:pt idx="13">
                  <c:v>36.137463952407934</c:v>
                </c:pt>
                <c:pt idx="14">
                  <c:v>35.583774216713884</c:v>
                </c:pt>
                <c:pt idx="15">
                  <c:v>35.046495396600569</c:v>
                </c:pt>
                <c:pt idx="16">
                  <c:v>34.524511194900853</c:v>
                </c:pt>
                <c:pt idx="17">
                  <c:v>34.017015917705386</c:v>
                </c:pt>
                <c:pt idx="18">
                  <c:v>33.523854063456092</c:v>
                </c:pt>
                <c:pt idx="19">
                  <c:v>33.044004802407933</c:v>
                </c:pt>
                <c:pt idx="20">
                  <c:v>32.576827677337114</c:v>
                </c:pt>
                <c:pt idx="21">
                  <c:v>32.121253061756377</c:v>
                </c:pt>
                <c:pt idx="22">
                  <c:v>31.675579355807365</c:v>
                </c:pt>
                <c:pt idx="23">
                  <c:v>31.23726470084986</c:v>
                </c:pt>
                <c:pt idx="24">
                  <c:v>30.803032314589235</c:v>
                </c:pt>
                <c:pt idx="25">
                  <c:v>30.368131448158643</c:v>
                </c:pt>
                <c:pt idx="26">
                  <c:v>29.926532503541079</c:v>
                </c:pt>
                <c:pt idx="27">
                  <c:v>29.4712446805949</c:v>
                </c:pt>
                <c:pt idx="28">
                  <c:v>28.994426210056659</c:v>
                </c:pt>
                <c:pt idx="29">
                  <c:v>28.487180088385273</c:v>
                </c:pt>
                <c:pt idx="30">
                  <c:v>27.940877410906516</c:v>
                </c:pt>
                <c:pt idx="31">
                  <c:v>27.346644643767707</c:v>
                </c:pt>
                <c:pt idx="32">
                  <c:v>26.69609810283286</c:v>
                </c:pt>
                <c:pt idx="33">
                  <c:v>25.981771426770539</c:v>
                </c:pt>
                <c:pt idx="34">
                  <c:v>25.197125517563741</c:v>
                </c:pt>
                <c:pt idx="35">
                  <c:v>24.336665072096316</c:v>
                </c:pt>
                <c:pt idx="36">
                  <c:v>23.396253454390937</c:v>
                </c:pt>
                <c:pt idx="37">
                  <c:v>22.37300534249292</c:v>
                </c:pt>
                <c:pt idx="38">
                  <c:v>21.265774999433429</c:v>
                </c:pt>
                <c:pt idx="39">
                  <c:v>20.075338979603398</c:v>
                </c:pt>
                <c:pt idx="40">
                  <c:v>18.804753664872525</c:v>
                </c:pt>
                <c:pt idx="41">
                  <c:v>17.459778647733714</c:v>
                </c:pt>
                <c:pt idx="42">
                  <c:v>16.049442709348444</c:v>
                </c:pt>
                <c:pt idx="43">
                  <c:v>14.586141357648726</c:v>
                </c:pt>
                <c:pt idx="44">
                  <c:v>13.086292787818698</c:v>
                </c:pt>
                <c:pt idx="45">
                  <c:v>11.569954109206799</c:v>
                </c:pt>
                <c:pt idx="46">
                  <c:v>10.060615663597735</c:v>
                </c:pt>
                <c:pt idx="47">
                  <c:v>8.5845798133144484</c:v>
                </c:pt>
                <c:pt idx="48">
                  <c:v>7.1699274298866866</c:v>
                </c:pt>
                <c:pt idx="49">
                  <c:v>5.8445309543909358</c:v>
                </c:pt>
                <c:pt idx="50">
                  <c:v>4.63448896246459</c:v>
                </c:pt>
                <c:pt idx="51">
                  <c:v>3.5616942512747878</c:v>
                </c:pt>
                <c:pt idx="52">
                  <c:v>2.6416464483002833</c:v>
                </c:pt>
                <c:pt idx="53">
                  <c:v>1.881694587535411</c:v>
                </c:pt>
                <c:pt idx="54">
                  <c:v>1.2804152703966005</c:v>
                </c:pt>
                <c:pt idx="55">
                  <c:v>0.82689946359773381</c:v>
                </c:pt>
                <c:pt idx="56">
                  <c:v>0.50343502110481586</c:v>
                </c:pt>
                <c:pt idx="57">
                  <c:v>0.28648482861189806</c:v>
                </c:pt>
                <c:pt idx="58">
                  <c:v>0.1509358185552408</c:v>
                </c:pt>
                <c:pt idx="59">
                  <c:v>7.3237085127478757E-2</c:v>
                </c:pt>
                <c:pt idx="60">
                  <c:v>3.2210600141643064E-2</c:v>
                </c:pt>
                <c:pt idx="61">
                  <c:v>1.2848388385269123E-2</c:v>
                </c:pt>
                <c:pt idx="62">
                  <c:v>5.2644582152974505E-3</c:v>
                </c:pt>
                <c:pt idx="63">
                  <c:v>2.0974308781869688E-3</c:v>
                </c:pt>
                <c:pt idx="64">
                  <c:v>7.1595623229461758E-4</c:v>
                </c:pt>
                <c:pt idx="65">
                  <c:v>-1.6516487252124648E-4</c:v>
                </c:pt>
                <c:pt idx="66">
                  <c:v>-4.6676997167138817E-4</c:v>
                </c:pt>
                <c:pt idx="67">
                  <c:v>-6.0126756373937674E-4</c:v>
                </c:pt>
                <c:pt idx="68">
                  <c:v>-2.7579022662889522E-4</c:v>
                </c:pt>
                <c:pt idx="69">
                  <c:v>-3.1049178470254955E-4</c:v>
                </c:pt>
                <c:pt idx="70">
                  <c:v>-2.5578101983002836E-4</c:v>
                </c:pt>
                <c:pt idx="71">
                  <c:v>2.4424844192634564E-4</c:v>
                </c:pt>
                <c:pt idx="72">
                  <c:v>1.096600566572238E-5</c:v>
                </c:pt>
                <c:pt idx="73">
                  <c:v>-1.5633016997167141E-4</c:v>
                </c:pt>
                <c:pt idx="74">
                  <c:v>1.3374192634560907E-4</c:v>
                </c:pt>
                <c:pt idx="75">
                  <c:v>3.0115807365439096E-4</c:v>
                </c:pt>
                <c:pt idx="76">
                  <c:v>2.1129008498583572E-4</c:v>
                </c:pt>
                <c:pt idx="77">
                  <c:v>-6.8073229461756383E-5</c:v>
                </c:pt>
                <c:pt idx="78">
                  <c:v>1.6783725212464592E-4</c:v>
                </c:pt>
                <c:pt idx="79">
                  <c:v>7.0988810198300287E-5</c:v>
                </c:pt>
                <c:pt idx="80">
                  <c:v>-1.4472492917847027E-4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SensChanelWidth!$D$26:$D$106</c:f>
              <c:numCache>
                <c:formatCode>0.0</c:formatCode>
                <c:ptCount val="81"/>
                <c:pt idx="0">
                  <c:v>0.79432823472428149</c:v>
                </c:pt>
                <c:pt idx="1">
                  <c:v>0.90157113760595697</c:v>
                </c:pt>
                <c:pt idx="2">
                  <c:v>1.0232929922807541</c:v>
                </c:pt>
                <c:pt idx="3">
                  <c:v>1.1614486138403428</c:v>
                </c:pt>
                <c:pt idx="4">
                  <c:v>1.3182567385564072</c:v>
                </c:pt>
                <c:pt idx="5">
                  <c:v>1.4962356560944334</c:v>
                </c:pt>
                <c:pt idx="6">
                  <c:v>1.6982436524617444</c:v>
                </c:pt>
                <c:pt idx="7">
                  <c:v>1.9275249131909362</c:v>
                </c:pt>
                <c:pt idx="8">
                  <c:v>2.1877616239495525</c:v>
                </c:pt>
                <c:pt idx="9">
                  <c:v>2.4831331052955701</c:v>
                </c:pt>
                <c:pt idx="10">
                  <c:v>2.8183829312644537</c:v>
                </c:pt>
                <c:pt idx="11">
                  <c:v>3.198895109691398</c:v>
                </c:pt>
                <c:pt idx="12">
                  <c:v>3.630780547701014</c:v>
                </c:pt>
                <c:pt idx="13">
                  <c:v>4.1209751909733034</c:v>
                </c:pt>
                <c:pt idx="14">
                  <c:v>4.6773514128719844</c:v>
                </c:pt>
                <c:pt idx="15">
                  <c:v>5.3088444423098871</c:v>
                </c:pt>
                <c:pt idx="16">
                  <c:v>6.0255958607435822</c:v>
                </c:pt>
                <c:pt idx="17">
                  <c:v>6.8391164728142995</c:v>
                </c:pt>
                <c:pt idx="18">
                  <c:v>7.7624711662869235</c:v>
                </c:pt>
                <c:pt idx="19">
                  <c:v>8.8104887300801522</c:v>
                </c:pt>
                <c:pt idx="20">
                  <c:v>10.000000000000011</c:v>
                </c:pt>
                <c:pt idx="21">
                  <c:v>11.350108156723163</c:v>
                </c:pt>
                <c:pt idx="22">
                  <c:v>12.882495516931352</c:v>
                </c:pt>
                <c:pt idx="23">
                  <c:v>14.621771744567194</c:v>
                </c:pt>
                <c:pt idx="24">
                  <c:v>16.595869074375621</c:v>
                </c:pt>
                <c:pt idx="25">
                  <c:v>18.83649089489802</c:v>
                </c:pt>
                <c:pt idx="26">
                  <c:v>21.379620895022335</c:v>
                </c:pt>
                <c:pt idx="27">
                  <c:v>24.266100950824168</c:v>
                </c:pt>
                <c:pt idx="28">
                  <c:v>27.542287033381665</c:v>
                </c:pt>
                <c:pt idx="29">
                  <c:v>31.260793671239547</c:v>
                </c:pt>
                <c:pt idx="30">
                  <c:v>35.481338923357541</c:v>
                </c:pt>
                <c:pt idx="31">
                  <c:v>40.271703432545898</c:v>
                </c:pt>
                <c:pt idx="32">
                  <c:v>45.708818961487488</c:v>
                </c:pt>
                <c:pt idx="33">
                  <c:v>51.880003892896092</c:v>
                </c:pt>
                <c:pt idx="34">
                  <c:v>58.884365535558842</c:v>
                </c:pt>
                <c:pt idx="35">
                  <c:v>66.834391756861422</c:v>
                </c:pt>
                <c:pt idx="36">
                  <c:v>75.85775750291829</c:v>
                </c:pt>
                <c:pt idx="37">
                  <c:v>86.099375218459997</c:v>
                </c:pt>
                <c:pt idx="38">
                  <c:v>97.723722095580953</c:v>
                </c:pt>
                <c:pt idx="39">
                  <c:v>110.91748152624001</c:v>
                </c:pt>
                <c:pt idx="40">
                  <c:v>125.89254117941665</c:v>
                </c:pt>
                <c:pt idx="41">
                  <c:v>142.88939585111027</c:v>
                </c:pt>
                <c:pt idx="42">
                  <c:v>162.18100973589304</c:v>
                </c:pt>
                <c:pt idx="43">
                  <c:v>184.07720014689568</c:v>
                </c:pt>
                <c:pt idx="44">
                  <c:v>208.92961308540416</c:v>
                </c:pt>
                <c:pt idx="45">
                  <c:v>237.13737056616583</c:v>
                </c:pt>
                <c:pt idx="46">
                  <c:v>269.15348039269202</c:v>
                </c:pt>
                <c:pt idx="47">
                  <c:v>305.49211132155193</c:v>
                </c:pt>
                <c:pt idx="48">
                  <c:v>346.73685045253245</c:v>
                </c:pt>
                <c:pt idx="49">
                  <c:v>393.55007545577854</c:v>
                </c:pt>
                <c:pt idx="50">
                  <c:v>446.6835921509645</c:v>
                </c:pt>
                <c:pt idx="51">
                  <c:v>506.99070827470609</c:v>
                </c:pt>
                <c:pt idx="52">
                  <c:v>575.43993733715911</c:v>
                </c:pt>
                <c:pt idx="53">
                  <c:v>653.13055264747504</c:v>
                </c:pt>
                <c:pt idx="54">
                  <c:v>741.31024130092089</c:v>
                </c:pt>
                <c:pt idx="55">
                  <c:v>841.39514164519926</c:v>
                </c:pt>
                <c:pt idx="56">
                  <c:v>954.99258602144096</c:v>
                </c:pt>
                <c:pt idx="57">
                  <c:v>1083.9269140212107</c:v>
                </c:pt>
                <c:pt idx="58">
                  <c:v>1230.2687708123901</c:v>
                </c:pt>
                <c:pt idx="59">
                  <c:v>1396.3683610559478</c:v>
                </c:pt>
                <c:pt idx="60">
                  <c:v>1584.8931924611256</c:v>
                </c:pt>
                <c:pt idx="61">
                  <c:v>1798.8709151288022</c:v>
                </c:pt>
                <c:pt idx="62">
                  <c:v>2041.7379446695463</c:v>
                </c:pt>
                <c:pt idx="63">
                  <c:v>2317.3946499684989</c:v>
                </c:pt>
                <c:pt idx="64">
                  <c:v>2630.2679918954059</c:v>
                </c:pt>
                <c:pt idx="65">
                  <c:v>2985.3826189179877</c:v>
                </c:pt>
                <c:pt idx="66">
                  <c:v>3388.4415613920555</c:v>
                </c:pt>
                <c:pt idx="67">
                  <c:v>3845.9178204535747</c:v>
                </c:pt>
                <c:pt idx="68">
                  <c:v>4365.1583224017013</c:v>
                </c:pt>
                <c:pt idx="69">
                  <c:v>4954.501908047956</c:v>
                </c:pt>
                <c:pt idx="70">
                  <c:v>5623.4132519035493</c:v>
                </c:pt>
                <c:pt idx="71">
                  <c:v>6382.6348619055607</c:v>
                </c:pt>
                <c:pt idx="72">
                  <c:v>7244.3596007499809</c:v>
                </c:pt>
                <c:pt idx="73">
                  <c:v>8222.4264994708137</c:v>
                </c:pt>
                <c:pt idx="74">
                  <c:v>9332.54300797002</c:v>
                </c:pt>
                <c:pt idx="75">
                  <c:v>10592.537251773008</c:v>
                </c:pt>
                <c:pt idx="76">
                  <c:v>12022.644346174258</c:v>
                </c:pt>
                <c:pt idx="77">
                  <c:v>13645.831365889386</c:v>
                </c:pt>
                <c:pt idx="78">
                  <c:v>15488.166189124964</c:v>
                </c:pt>
                <c:pt idx="79">
                  <c:v>17579.236139587087</c:v>
                </c:pt>
                <c:pt idx="80">
                  <c:v>19952.62314968897</c:v>
                </c:pt>
              </c:numCache>
            </c:numRef>
          </c:xVal>
          <c:yVal>
            <c:numRef>
              <c:f>SensChanelWidth!$F$26:$F$106</c:f>
              <c:numCache>
                <c:formatCode>0.0</c:formatCode>
                <c:ptCount val="81"/>
                <c:pt idx="0">
                  <c:v>45.169766388101984</c:v>
                </c:pt>
                <c:pt idx="1">
                  <c:v>44.328005524645896</c:v>
                </c:pt>
                <c:pt idx="2">
                  <c:v>43.515204740651555</c:v>
                </c:pt>
                <c:pt idx="3">
                  <c:v>42.729885712889519</c:v>
                </c:pt>
                <c:pt idx="4">
                  <c:v>41.970801188526913</c:v>
                </c:pt>
                <c:pt idx="5">
                  <c:v>41.236743467563741</c:v>
                </c:pt>
                <c:pt idx="6">
                  <c:v>40.526562002407935</c:v>
                </c:pt>
                <c:pt idx="7">
                  <c:v>39.839146504815865</c:v>
                </c:pt>
                <c:pt idx="8">
                  <c:v>39.173583774079319</c:v>
                </c:pt>
                <c:pt idx="9">
                  <c:v>38.528498833994334</c:v>
                </c:pt>
                <c:pt idx="10">
                  <c:v>37.904263059348445</c:v>
                </c:pt>
                <c:pt idx="11">
                  <c:v>37.296791016430596</c:v>
                </c:pt>
                <c:pt idx="12">
                  <c:v>36.707127366713884</c:v>
                </c:pt>
                <c:pt idx="13">
                  <c:v>36.137792624929176</c:v>
                </c:pt>
                <c:pt idx="14">
                  <c:v>35.584028778186976</c:v>
                </c:pt>
                <c:pt idx="15">
                  <c:v>35.046601254674222</c:v>
                </c:pt>
                <c:pt idx="16">
                  <c:v>34.524240520821536</c:v>
                </c:pt>
                <c:pt idx="17">
                  <c:v>34.016730569263459</c:v>
                </c:pt>
                <c:pt idx="18">
                  <c:v>33.523153358640229</c:v>
                </c:pt>
                <c:pt idx="19">
                  <c:v>33.042444373937677</c:v>
                </c:pt>
                <c:pt idx="20">
                  <c:v>32.573323101558074</c:v>
                </c:pt>
                <c:pt idx="21">
                  <c:v>32.114102177337116</c:v>
                </c:pt>
                <c:pt idx="22">
                  <c:v>31.662476439093485</c:v>
                </c:pt>
                <c:pt idx="23">
                  <c:v>31.215150405382438</c:v>
                </c:pt>
                <c:pt idx="24">
                  <c:v>30.768480711331446</c:v>
                </c:pt>
                <c:pt idx="25">
                  <c:v>30.317966416997169</c:v>
                </c:pt>
                <c:pt idx="26">
                  <c:v>29.858260755807368</c:v>
                </c:pt>
                <c:pt idx="27">
                  <c:v>29.383434369830031</c:v>
                </c:pt>
                <c:pt idx="28">
                  <c:v>28.887043273229462</c:v>
                </c:pt>
                <c:pt idx="29">
                  <c:v>28.362174389376772</c:v>
                </c:pt>
                <c:pt idx="30">
                  <c:v>27.801495599008501</c:v>
                </c:pt>
                <c:pt idx="31">
                  <c:v>27.19719682181303</c:v>
                </c:pt>
                <c:pt idx="32">
                  <c:v>26.541491817988668</c:v>
                </c:pt>
                <c:pt idx="33">
                  <c:v>25.82696110835694</c:v>
                </c:pt>
                <c:pt idx="34">
                  <c:v>25.046348090651559</c:v>
                </c:pt>
                <c:pt idx="35">
                  <c:v>24.193516755665723</c:v>
                </c:pt>
                <c:pt idx="36">
                  <c:v>23.263345832719548</c:v>
                </c:pt>
                <c:pt idx="37">
                  <c:v>22.252220264447594</c:v>
                </c:pt>
                <c:pt idx="38">
                  <c:v>21.158420273796036</c:v>
                </c:pt>
                <c:pt idx="39">
                  <c:v>19.982209791926348</c:v>
                </c:pt>
                <c:pt idx="40">
                  <c:v>18.726274553257792</c:v>
                </c:pt>
                <c:pt idx="41">
                  <c:v>17.396171353682721</c:v>
                </c:pt>
                <c:pt idx="42">
                  <c:v>16.000614045750709</c:v>
                </c:pt>
                <c:pt idx="43">
                  <c:v>14.551779233569405</c:v>
                </c:pt>
                <c:pt idx="44">
                  <c:v>13.065674957648726</c:v>
                </c:pt>
                <c:pt idx="45">
                  <c:v>11.561951708640226</c:v>
                </c:pt>
                <c:pt idx="46">
                  <c:v>10.063732331161473</c:v>
                </c:pt>
                <c:pt idx="47">
                  <c:v>8.5971176957507094</c:v>
                </c:pt>
                <c:pt idx="48">
                  <c:v>7.1896705307365441</c:v>
                </c:pt>
                <c:pt idx="49">
                  <c:v>5.8692538355524082</c:v>
                </c:pt>
                <c:pt idx="50">
                  <c:v>4.6618922344192635</c:v>
                </c:pt>
                <c:pt idx="51">
                  <c:v>3.5895334307365441</c:v>
                </c:pt>
                <c:pt idx="52">
                  <c:v>2.6680232128895183</c:v>
                </c:pt>
                <c:pt idx="53">
                  <c:v>1.9051762835694053</c:v>
                </c:pt>
                <c:pt idx="54">
                  <c:v>1.2998770654390934</c:v>
                </c:pt>
                <c:pt idx="55">
                  <c:v>0.84235657974504252</c:v>
                </c:pt>
                <c:pt idx="56">
                  <c:v>0.51439965127478759</c:v>
                </c:pt>
                <c:pt idx="57">
                  <c:v>0.29420325580736545</c:v>
                </c:pt>
                <c:pt idx="58">
                  <c:v>0.15583947266288953</c:v>
                </c:pt>
                <c:pt idx="59">
                  <c:v>7.5598252691218129E-2</c:v>
                </c:pt>
                <c:pt idx="60">
                  <c:v>3.3408846175637393E-2</c:v>
                </c:pt>
                <c:pt idx="61">
                  <c:v>1.3744887252124647E-2</c:v>
                </c:pt>
                <c:pt idx="62">
                  <c:v>5.5094968838526916E-3</c:v>
                </c:pt>
                <c:pt idx="63">
                  <c:v>2.2656220963172807E-3</c:v>
                </c:pt>
                <c:pt idx="64">
                  <c:v>4.7197847025495755E-4</c:v>
                </c:pt>
                <c:pt idx="65">
                  <c:v>4.1147308781869693E-5</c:v>
                </c:pt>
                <c:pt idx="66">
                  <c:v>-2.727396600566572E-4</c:v>
                </c:pt>
                <c:pt idx="67">
                  <c:v>-1.6107917847025497E-4</c:v>
                </c:pt>
                <c:pt idx="68">
                  <c:v>-1.3273371104815865E-5</c:v>
                </c:pt>
                <c:pt idx="69">
                  <c:v>-2.6563739376770539E-4</c:v>
                </c:pt>
                <c:pt idx="70">
                  <c:v>-9.68586402266289E-5</c:v>
                </c:pt>
                <c:pt idx="71">
                  <c:v>-7.0926912181303113E-5</c:v>
                </c:pt>
                <c:pt idx="72">
                  <c:v>-1.4139178470254956E-4</c:v>
                </c:pt>
                <c:pt idx="73">
                  <c:v>-9.6783144475920686E-5</c:v>
                </c:pt>
                <c:pt idx="74">
                  <c:v>-7.192138810198301E-5</c:v>
                </c:pt>
                <c:pt idx="75">
                  <c:v>-2.6042677053824363E-4</c:v>
                </c:pt>
                <c:pt idx="76">
                  <c:v>-1.6292209631728046E-4</c:v>
                </c:pt>
                <c:pt idx="77">
                  <c:v>-2.1664560906515582E-4</c:v>
                </c:pt>
                <c:pt idx="78">
                  <c:v>1.2062932011331446E-4</c:v>
                </c:pt>
                <c:pt idx="79">
                  <c:v>-1.2972379603399433E-4</c:v>
                </c:pt>
                <c:pt idx="80">
                  <c:v>1.2814603399433427E-4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xVal>
            <c:numRef>
              <c:f>SensChanelWidth!$D$26:$D$106</c:f>
              <c:numCache>
                <c:formatCode>0.0</c:formatCode>
                <c:ptCount val="81"/>
                <c:pt idx="0">
                  <c:v>0.79432823472428149</c:v>
                </c:pt>
                <c:pt idx="1">
                  <c:v>0.90157113760595697</c:v>
                </c:pt>
                <c:pt idx="2">
                  <c:v>1.0232929922807541</c:v>
                </c:pt>
                <c:pt idx="3">
                  <c:v>1.1614486138403428</c:v>
                </c:pt>
                <c:pt idx="4">
                  <c:v>1.3182567385564072</c:v>
                </c:pt>
                <c:pt idx="5">
                  <c:v>1.4962356560944334</c:v>
                </c:pt>
                <c:pt idx="6">
                  <c:v>1.6982436524617444</c:v>
                </c:pt>
                <c:pt idx="7">
                  <c:v>1.9275249131909362</c:v>
                </c:pt>
                <c:pt idx="8">
                  <c:v>2.1877616239495525</c:v>
                </c:pt>
                <c:pt idx="9">
                  <c:v>2.4831331052955701</c:v>
                </c:pt>
                <c:pt idx="10">
                  <c:v>2.8183829312644537</c:v>
                </c:pt>
                <c:pt idx="11">
                  <c:v>3.198895109691398</c:v>
                </c:pt>
                <c:pt idx="12">
                  <c:v>3.630780547701014</c:v>
                </c:pt>
                <c:pt idx="13">
                  <c:v>4.1209751909733034</c:v>
                </c:pt>
                <c:pt idx="14">
                  <c:v>4.6773514128719844</c:v>
                </c:pt>
                <c:pt idx="15">
                  <c:v>5.3088444423098871</c:v>
                </c:pt>
                <c:pt idx="16">
                  <c:v>6.0255958607435822</c:v>
                </c:pt>
                <c:pt idx="17">
                  <c:v>6.8391164728142995</c:v>
                </c:pt>
                <c:pt idx="18">
                  <c:v>7.7624711662869235</c:v>
                </c:pt>
                <c:pt idx="19">
                  <c:v>8.8104887300801522</c:v>
                </c:pt>
                <c:pt idx="20">
                  <c:v>10.000000000000011</c:v>
                </c:pt>
                <c:pt idx="21">
                  <c:v>11.350108156723163</c:v>
                </c:pt>
                <c:pt idx="22">
                  <c:v>12.882495516931352</c:v>
                </c:pt>
                <c:pt idx="23">
                  <c:v>14.621771744567194</c:v>
                </c:pt>
                <c:pt idx="24">
                  <c:v>16.595869074375621</c:v>
                </c:pt>
                <c:pt idx="25">
                  <c:v>18.83649089489802</c:v>
                </c:pt>
                <c:pt idx="26">
                  <c:v>21.379620895022335</c:v>
                </c:pt>
                <c:pt idx="27">
                  <c:v>24.266100950824168</c:v>
                </c:pt>
                <c:pt idx="28">
                  <c:v>27.542287033381665</c:v>
                </c:pt>
                <c:pt idx="29">
                  <c:v>31.260793671239547</c:v>
                </c:pt>
                <c:pt idx="30">
                  <c:v>35.481338923357541</c:v>
                </c:pt>
                <c:pt idx="31">
                  <c:v>40.271703432545898</c:v>
                </c:pt>
                <c:pt idx="32">
                  <c:v>45.708818961487488</c:v>
                </c:pt>
                <c:pt idx="33">
                  <c:v>51.880003892896092</c:v>
                </c:pt>
                <c:pt idx="34">
                  <c:v>58.884365535558842</c:v>
                </c:pt>
                <c:pt idx="35">
                  <c:v>66.834391756861422</c:v>
                </c:pt>
                <c:pt idx="36">
                  <c:v>75.85775750291829</c:v>
                </c:pt>
                <c:pt idx="37">
                  <c:v>86.099375218459997</c:v>
                </c:pt>
                <c:pt idx="38">
                  <c:v>97.723722095580953</c:v>
                </c:pt>
                <c:pt idx="39">
                  <c:v>110.91748152624001</c:v>
                </c:pt>
                <c:pt idx="40">
                  <c:v>125.89254117941665</c:v>
                </c:pt>
                <c:pt idx="41">
                  <c:v>142.88939585111027</c:v>
                </c:pt>
                <c:pt idx="42">
                  <c:v>162.18100973589304</c:v>
                </c:pt>
                <c:pt idx="43">
                  <c:v>184.07720014689568</c:v>
                </c:pt>
                <c:pt idx="44">
                  <c:v>208.92961308540416</c:v>
                </c:pt>
                <c:pt idx="45">
                  <c:v>237.13737056616583</c:v>
                </c:pt>
                <c:pt idx="46">
                  <c:v>269.15348039269202</c:v>
                </c:pt>
                <c:pt idx="47">
                  <c:v>305.49211132155193</c:v>
                </c:pt>
                <c:pt idx="48">
                  <c:v>346.73685045253245</c:v>
                </c:pt>
                <c:pt idx="49">
                  <c:v>393.55007545577854</c:v>
                </c:pt>
                <c:pt idx="50">
                  <c:v>446.6835921509645</c:v>
                </c:pt>
                <c:pt idx="51">
                  <c:v>506.99070827470609</c:v>
                </c:pt>
                <c:pt idx="52">
                  <c:v>575.43993733715911</c:v>
                </c:pt>
                <c:pt idx="53">
                  <c:v>653.13055264747504</c:v>
                </c:pt>
                <c:pt idx="54">
                  <c:v>741.31024130092089</c:v>
                </c:pt>
                <c:pt idx="55">
                  <c:v>841.39514164519926</c:v>
                </c:pt>
                <c:pt idx="56">
                  <c:v>954.99258602144096</c:v>
                </c:pt>
                <c:pt idx="57">
                  <c:v>1083.9269140212107</c:v>
                </c:pt>
                <c:pt idx="58">
                  <c:v>1230.2687708123901</c:v>
                </c:pt>
                <c:pt idx="59">
                  <c:v>1396.3683610559478</c:v>
                </c:pt>
                <c:pt idx="60">
                  <c:v>1584.8931924611256</c:v>
                </c:pt>
                <c:pt idx="61">
                  <c:v>1798.8709151288022</c:v>
                </c:pt>
                <c:pt idx="62">
                  <c:v>2041.7379446695463</c:v>
                </c:pt>
                <c:pt idx="63">
                  <c:v>2317.3946499684989</c:v>
                </c:pt>
                <c:pt idx="64">
                  <c:v>2630.2679918954059</c:v>
                </c:pt>
                <c:pt idx="65">
                  <c:v>2985.3826189179877</c:v>
                </c:pt>
                <c:pt idx="66">
                  <c:v>3388.4415613920555</c:v>
                </c:pt>
                <c:pt idx="67">
                  <c:v>3845.9178204535747</c:v>
                </c:pt>
                <c:pt idx="68">
                  <c:v>4365.1583224017013</c:v>
                </c:pt>
                <c:pt idx="69">
                  <c:v>4954.501908047956</c:v>
                </c:pt>
                <c:pt idx="70">
                  <c:v>5623.4132519035493</c:v>
                </c:pt>
                <c:pt idx="71">
                  <c:v>6382.6348619055607</c:v>
                </c:pt>
                <c:pt idx="72">
                  <c:v>7244.3596007499809</c:v>
                </c:pt>
                <c:pt idx="73">
                  <c:v>8222.4264994708137</c:v>
                </c:pt>
                <c:pt idx="74">
                  <c:v>9332.54300797002</c:v>
                </c:pt>
                <c:pt idx="75">
                  <c:v>10592.537251773008</c:v>
                </c:pt>
                <c:pt idx="76">
                  <c:v>12022.644346174258</c:v>
                </c:pt>
                <c:pt idx="77">
                  <c:v>13645.831365889386</c:v>
                </c:pt>
                <c:pt idx="78">
                  <c:v>15488.166189124964</c:v>
                </c:pt>
                <c:pt idx="79">
                  <c:v>17579.236139587087</c:v>
                </c:pt>
                <c:pt idx="80">
                  <c:v>19952.62314968897</c:v>
                </c:pt>
              </c:numCache>
            </c:numRef>
          </c:xVal>
          <c:yVal>
            <c:numRef>
              <c:f>SensChanelWidth!$G$26:$G$106</c:f>
              <c:numCache>
                <c:formatCode>0.0</c:formatCode>
                <c:ptCount val="81"/>
                <c:pt idx="0">
                  <c:v>45.169766388101984</c:v>
                </c:pt>
                <c:pt idx="1">
                  <c:v>44.328003534419267</c:v>
                </c:pt>
                <c:pt idx="2">
                  <c:v>43.51520649419264</c:v>
                </c:pt>
                <c:pt idx="3">
                  <c:v>42.729853269546744</c:v>
                </c:pt>
                <c:pt idx="4">
                  <c:v>41.970664392351274</c:v>
                </c:pt>
                <c:pt idx="5">
                  <c:v>41.237317094900853</c:v>
                </c:pt>
                <c:pt idx="6">
                  <c:v>40.524646890509921</c:v>
                </c:pt>
                <c:pt idx="7">
                  <c:v>39.836204255382434</c:v>
                </c:pt>
                <c:pt idx="8">
                  <c:v>39.178685535410764</c:v>
                </c:pt>
                <c:pt idx="9">
                  <c:v>38.528147717563741</c:v>
                </c:pt>
                <c:pt idx="10">
                  <c:v>37.902362822804534</c:v>
                </c:pt>
                <c:pt idx="11">
                  <c:v>37.298379495184143</c:v>
                </c:pt>
                <c:pt idx="12">
                  <c:v>36.715900214872526</c:v>
                </c:pt>
                <c:pt idx="13">
                  <c:v>36.144451282294618</c:v>
                </c:pt>
                <c:pt idx="14">
                  <c:v>35.591911614022663</c:v>
                </c:pt>
                <c:pt idx="15">
                  <c:v>35.053050704532581</c:v>
                </c:pt>
                <c:pt idx="16">
                  <c:v>34.528941685977337</c:v>
                </c:pt>
                <c:pt idx="17">
                  <c:v>34.017992294617564</c:v>
                </c:pt>
                <c:pt idx="18">
                  <c:v>33.517938638668561</c:v>
                </c:pt>
                <c:pt idx="19">
                  <c:v>33.025956672096321</c:v>
                </c:pt>
                <c:pt idx="20">
                  <c:v>32.538889593767706</c:v>
                </c:pt>
                <c:pt idx="21">
                  <c:v>32.052797240084985</c:v>
                </c:pt>
                <c:pt idx="22">
                  <c:v>31.563883693201138</c:v>
                </c:pt>
                <c:pt idx="23">
                  <c:v>31.067805847733712</c:v>
                </c:pt>
                <c:pt idx="24">
                  <c:v>30.560854501841362</c:v>
                </c:pt>
                <c:pt idx="25">
                  <c:v>30.039838583427763</c:v>
                </c:pt>
                <c:pt idx="26">
                  <c:v>29.502078887677058</c:v>
                </c:pt>
                <c:pt idx="27">
                  <c:v>28.945608059348444</c:v>
                </c:pt>
                <c:pt idx="28">
                  <c:v>28.368610286968842</c:v>
                </c:pt>
                <c:pt idx="29">
                  <c:v>27.769267130028329</c:v>
                </c:pt>
                <c:pt idx="30">
                  <c:v>27.145103800283287</c:v>
                </c:pt>
                <c:pt idx="31">
                  <c:v>26.492565140226631</c:v>
                </c:pt>
                <c:pt idx="32">
                  <c:v>25.806756944759208</c:v>
                </c:pt>
                <c:pt idx="33">
                  <c:v>25.081563259490085</c:v>
                </c:pt>
                <c:pt idx="34">
                  <c:v>24.309695001133147</c:v>
                </c:pt>
                <c:pt idx="35">
                  <c:v>23.483019002691218</c:v>
                </c:pt>
                <c:pt idx="36">
                  <c:v>22.594300927620395</c:v>
                </c:pt>
                <c:pt idx="37">
                  <c:v>21.636811849433428</c:v>
                </c:pt>
                <c:pt idx="38">
                  <c:v>20.605506842776204</c:v>
                </c:pt>
                <c:pt idx="39">
                  <c:v>19.498123360623229</c:v>
                </c:pt>
                <c:pt idx="40">
                  <c:v>18.314951714447592</c:v>
                </c:pt>
                <c:pt idx="41">
                  <c:v>17.059616098866854</c:v>
                </c:pt>
                <c:pt idx="42">
                  <c:v>15.738989780878187</c:v>
                </c:pt>
                <c:pt idx="43">
                  <c:v>14.363544008215298</c:v>
                </c:pt>
                <c:pt idx="44">
                  <c:v>12.947508643767707</c:v>
                </c:pt>
                <c:pt idx="45">
                  <c:v>11.508664879036829</c:v>
                </c:pt>
                <c:pt idx="46">
                  <c:v>10.068398757082154</c:v>
                </c:pt>
                <c:pt idx="47">
                  <c:v>8.6507797250708212</c:v>
                </c:pt>
                <c:pt idx="48">
                  <c:v>7.2820453423512745</c:v>
                </c:pt>
                <c:pt idx="49">
                  <c:v>5.9889609882436261</c:v>
                </c:pt>
                <c:pt idx="50">
                  <c:v>4.7972578559490087</c:v>
                </c:pt>
                <c:pt idx="51">
                  <c:v>3.7292176466005671</c:v>
                </c:pt>
                <c:pt idx="52">
                  <c:v>2.8021953933427768</c:v>
                </c:pt>
                <c:pt idx="53">
                  <c:v>2.0256718117563741</c:v>
                </c:pt>
                <c:pt idx="54">
                  <c:v>1.4015942229461757</c:v>
                </c:pt>
                <c:pt idx="55">
                  <c:v>0.92295961784702552</c:v>
                </c:pt>
                <c:pt idx="56">
                  <c:v>0.57389759730878187</c:v>
                </c:pt>
                <c:pt idx="57">
                  <c:v>0.3346900067988669</c:v>
                </c:pt>
                <c:pt idx="58">
                  <c:v>0.18143441770538246</c:v>
                </c:pt>
                <c:pt idx="59">
                  <c:v>9.0703593626062326E-2</c:v>
                </c:pt>
                <c:pt idx="60">
                  <c:v>4.1460814447592073E-2</c:v>
                </c:pt>
                <c:pt idx="61">
                  <c:v>1.733505580736544E-2</c:v>
                </c:pt>
                <c:pt idx="62">
                  <c:v>6.7686842776203968E-3</c:v>
                </c:pt>
                <c:pt idx="63">
                  <c:v>2.7021008498583571E-3</c:v>
                </c:pt>
                <c:pt idx="64">
                  <c:v>6.9403314447592074E-4</c:v>
                </c:pt>
                <c:pt idx="65">
                  <c:v>3.2582521246458929E-4</c:v>
                </c:pt>
                <c:pt idx="66">
                  <c:v>-1.037672804532578E-4</c:v>
                </c:pt>
                <c:pt idx="67">
                  <c:v>1.3896586402266289E-4</c:v>
                </c:pt>
                <c:pt idx="68">
                  <c:v>-1.6959192634560908E-4</c:v>
                </c:pt>
                <c:pt idx="69">
                  <c:v>-1.3929773371104817E-4</c:v>
                </c:pt>
                <c:pt idx="70">
                  <c:v>1.1585594900849858E-4</c:v>
                </c:pt>
                <c:pt idx="71">
                  <c:v>-1.984828611898017E-4</c:v>
                </c:pt>
                <c:pt idx="72">
                  <c:v>-1.0872804532577904E-4</c:v>
                </c:pt>
                <c:pt idx="73">
                  <c:v>2.8714660056657223E-4</c:v>
                </c:pt>
                <c:pt idx="74">
                  <c:v>1.9018045325779038E-4</c:v>
                </c:pt>
                <c:pt idx="75">
                  <c:v>-8.8180878186968836E-5</c:v>
                </c:pt>
                <c:pt idx="76">
                  <c:v>1.6404447592067989E-4</c:v>
                </c:pt>
                <c:pt idx="77">
                  <c:v>-5.0584985835694048E-6</c:v>
                </c:pt>
                <c:pt idx="78">
                  <c:v>7.3056232294617569E-5</c:v>
                </c:pt>
                <c:pt idx="79">
                  <c:v>2.3450991501416435E-5</c:v>
                </c:pt>
                <c:pt idx="80">
                  <c:v>-6.743172804532578E-5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SensChanelWidth!$D$26:$D$106</c:f>
              <c:numCache>
                <c:formatCode>0.0</c:formatCode>
                <c:ptCount val="81"/>
                <c:pt idx="0">
                  <c:v>0.79432823472428149</c:v>
                </c:pt>
                <c:pt idx="1">
                  <c:v>0.90157113760595697</c:v>
                </c:pt>
                <c:pt idx="2">
                  <c:v>1.0232929922807541</c:v>
                </c:pt>
                <c:pt idx="3">
                  <c:v>1.1614486138403428</c:v>
                </c:pt>
                <c:pt idx="4">
                  <c:v>1.3182567385564072</c:v>
                </c:pt>
                <c:pt idx="5">
                  <c:v>1.4962356560944334</c:v>
                </c:pt>
                <c:pt idx="6">
                  <c:v>1.6982436524617444</c:v>
                </c:pt>
                <c:pt idx="7">
                  <c:v>1.9275249131909362</c:v>
                </c:pt>
                <c:pt idx="8">
                  <c:v>2.1877616239495525</c:v>
                </c:pt>
                <c:pt idx="9">
                  <c:v>2.4831331052955701</c:v>
                </c:pt>
                <c:pt idx="10">
                  <c:v>2.8183829312644537</c:v>
                </c:pt>
                <c:pt idx="11">
                  <c:v>3.198895109691398</c:v>
                </c:pt>
                <c:pt idx="12">
                  <c:v>3.630780547701014</c:v>
                </c:pt>
                <c:pt idx="13">
                  <c:v>4.1209751909733034</c:v>
                </c:pt>
                <c:pt idx="14">
                  <c:v>4.6773514128719844</c:v>
                </c:pt>
                <c:pt idx="15">
                  <c:v>5.3088444423098871</c:v>
                </c:pt>
                <c:pt idx="16">
                  <c:v>6.0255958607435822</c:v>
                </c:pt>
                <c:pt idx="17">
                  <c:v>6.8391164728142995</c:v>
                </c:pt>
                <c:pt idx="18">
                  <c:v>7.7624711662869235</c:v>
                </c:pt>
                <c:pt idx="19">
                  <c:v>8.8104887300801522</c:v>
                </c:pt>
                <c:pt idx="20">
                  <c:v>10.000000000000011</c:v>
                </c:pt>
                <c:pt idx="21">
                  <c:v>11.350108156723163</c:v>
                </c:pt>
                <c:pt idx="22">
                  <c:v>12.882495516931352</c:v>
                </c:pt>
                <c:pt idx="23">
                  <c:v>14.621771744567194</c:v>
                </c:pt>
                <c:pt idx="24">
                  <c:v>16.595869074375621</c:v>
                </c:pt>
                <c:pt idx="25">
                  <c:v>18.83649089489802</c:v>
                </c:pt>
                <c:pt idx="26">
                  <c:v>21.379620895022335</c:v>
                </c:pt>
                <c:pt idx="27">
                  <c:v>24.266100950824168</c:v>
                </c:pt>
                <c:pt idx="28">
                  <c:v>27.542287033381665</c:v>
                </c:pt>
                <c:pt idx="29">
                  <c:v>31.260793671239547</c:v>
                </c:pt>
                <c:pt idx="30">
                  <c:v>35.481338923357541</c:v>
                </c:pt>
                <c:pt idx="31">
                  <c:v>40.271703432545898</c:v>
                </c:pt>
                <c:pt idx="32">
                  <c:v>45.708818961487488</c:v>
                </c:pt>
                <c:pt idx="33">
                  <c:v>51.880003892896092</c:v>
                </c:pt>
                <c:pt idx="34">
                  <c:v>58.884365535558842</c:v>
                </c:pt>
                <c:pt idx="35">
                  <c:v>66.834391756861422</c:v>
                </c:pt>
                <c:pt idx="36">
                  <c:v>75.85775750291829</c:v>
                </c:pt>
                <c:pt idx="37">
                  <c:v>86.099375218459997</c:v>
                </c:pt>
                <c:pt idx="38">
                  <c:v>97.723722095580953</c:v>
                </c:pt>
                <c:pt idx="39">
                  <c:v>110.91748152624001</c:v>
                </c:pt>
                <c:pt idx="40">
                  <c:v>125.89254117941665</c:v>
                </c:pt>
                <c:pt idx="41">
                  <c:v>142.88939585111027</c:v>
                </c:pt>
                <c:pt idx="42">
                  <c:v>162.18100973589304</c:v>
                </c:pt>
                <c:pt idx="43">
                  <c:v>184.07720014689568</c:v>
                </c:pt>
                <c:pt idx="44">
                  <c:v>208.92961308540416</c:v>
                </c:pt>
                <c:pt idx="45">
                  <c:v>237.13737056616583</c:v>
                </c:pt>
                <c:pt idx="46">
                  <c:v>269.15348039269202</c:v>
                </c:pt>
                <c:pt idx="47">
                  <c:v>305.49211132155193</c:v>
                </c:pt>
                <c:pt idx="48">
                  <c:v>346.73685045253245</c:v>
                </c:pt>
                <c:pt idx="49">
                  <c:v>393.55007545577854</c:v>
                </c:pt>
                <c:pt idx="50">
                  <c:v>446.6835921509645</c:v>
                </c:pt>
                <c:pt idx="51">
                  <c:v>506.99070827470609</c:v>
                </c:pt>
                <c:pt idx="52">
                  <c:v>575.43993733715911</c:v>
                </c:pt>
                <c:pt idx="53">
                  <c:v>653.13055264747504</c:v>
                </c:pt>
                <c:pt idx="54">
                  <c:v>741.31024130092089</c:v>
                </c:pt>
                <c:pt idx="55">
                  <c:v>841.39514164519926</c:v>
                </c:pt>
                <c:pt idx="56">
                  <c:v>954.99258602144096</c:v>
                </c:pt>
                <c:pt idx="57">
                  <c:v>1083.9269140212107</c:v>
                </c:pt>
                <c:pt idx="58">
                  <c:v>1230.2687708123901</c:v>
                </c:pt>
                <c:pt idx="59">
                  <c:v>1396.3683610559478</c:v>
                </c:pt>
                <c:pt idx="60">
                  <c:v>1584.8931924611256</c:v>
                </c:pt>
                <c:pt idx="61">
                  <c:v>1798.8709151288022</c:v>
                </c:pt>
                <c:pt idx="62">
                  <c:v>2041.7379446695463</c:v>
                </c:pt>
                <c:pt idx="63">
                  <c:v>2317.3946499684989</c:v>
                </c:pt>
                <c:pt idx="64">
                  <c:v>2630.2679918954059</c:v>
                </c:pt>
                <c:pt idx="65">
                  <c:v>2985.3826189179877</c:v>
                </c:pt>
                <c:pt idx="66">
                  <c:v>3388.4415613920555</c:v>
                </c:pt>
                <c:pt idx="67">
                  <c:v>3845.9178204535747</c:v>
                </c:pt>
                <c:pt idx="68">
                  <c:v>4365.1583224017013</c:v>
                </c:pt>
                <c:pt idx="69">
                  <c:v>4954.501908047956</c:v>
                </c:pt>
                <c:pt idx="70">
                  <c:v>5623.4132519035493</c:v>
                </c:pt>
                <c:pt idx="71">
                  <c:v>6382.6348619055607</c:v>
                </c:pt>
                <c:pt idx="72">
                  <c:v>7244.3596007499809</c:v>
                </c:pt>
                <c:pt idx="73">
                  <c:v>8222.4264994708137</c:v>
                </c:pt>
                <c:pt idx="74">
                  <c:v>9332.54300797002</c:v>
                </c:pt>
                <c:pt idx="75">
                  <c:v>10592.537251773008</c:v>
                </c:pt>
                <c:pt idx="76">
                  <c:v>12022.644346174258</c:v>
                </c:pt>
                <c:pt idx="77">
                  <c:v>13645.831365889386</c:v>
                </c:pt>
                <c:pt idx="78">
                  <c:v>15488.166189124964</c:v>
                </c:pt>
                <c:pt idx="79">
                  <c:v>17579.236139587087</c:v>
                </c:pt>
                <c:pt idx="80">
                  <c:v>19952.62314968897</c:v>
                </c:pt>
              </c:numCache>
            </c:numRef>
          </c:xVal>
          <c:yVal>
            <c:numRef>
              <c:f>SensChanelWidth!$H$26:$H$106</c:f>
              <c:numCache>
                <c:formatCode>0.0</c:formatCode>
                <c:ptCount val="81"/>
                <c:pt idx="0">
                  <c:v>45.168661148583574</c:v>
                </c:pt>
                <c:pt idx="1">
                  <c:v>44.339182128895189</c:v>
                </c:pt>
                <c:pt idx="2">
                  <c:v>43.49165492634561</c:v>
                </c:pt>
                <c:pt idx="3">
                  <c:v>42.728542870113316</c:v>
                </c:pt>
                <c:pt idx="4">
                  <c:v>41.970302062322951</c:v>
                </c:pt>
                <c:pt idx="5">
                  <c:v>41.250110675920681</c:v>
                </c:pt>
                <c:pt idx="6">
                  <c:v>40.523864280028327</c:v>
                </c:pt>
                <c:pt idx="7">
                  <c:v>39.83512229929179</c:v>
                </c:pt>
                <c:pt idx="8">
                  <c:v>39.175028226062324</c:v>
                </c:pt>
                <c:pt idx="9">
                  <c:v>38.530911479036831</c:v>
                </c:pt>
                <c:pt idx="10">
                  <c:v>37.89901181203966</c:v>
                </c:pt>
                <c:pt idx="11">
                  <c:v>37.292663936968843</c:v>
                </c:pt>
                <c:pt idx="12">
                  <c:v>36.691661923654387</c:v>
                </c:pt>
                <c:pt idx="13">
                  <c:v>36.111708116997171</c:v>
                </c:pt>
                <c:pt idx="14">
                  <c:v>35.535806611614731</c:v>
                </c:pt>
                <c:pt idx="15">
                  <c:v>34.967567466288955</c:v>
                </c:pt>
                <c:pt idx="16">
                  <c:v>34.400454969405104</c:v>
                </c:pt>
                <c:pt idx="17">
                  <c:v>33.825037384419261</c:v>
                </c:pt>
                <c:pt idx="18">
                  <c:v>33.240269999291783</c:v>
                </c:pt>
                <c:pt idx="19">
                  <c:v>32.641887846033995</c:v>
                </c:pt>
                <c:pt idx="20">
                  <c:v>32.026435202124645</c:v>
                </c:pt>
                <c:pt idx="21">
                  <c:v>31.392289595184138</c:v>
                </c:pt>
                <c:pt idx="22">
                  <c:v>30.738144661331447</c:v>
                </c:pt>
                <c:pt idx="23">
                  <c:v>30.06427340779037</c:v>
                </c:pt>
                <c:pt idx="24">
                  <c:v>29.371526771246462</c:v>
                </c:pt>
                <c:pt idx="25">
                  <c:v>28.661283536968838</c:v>
                </c:pt>
                <c:pt idx="26">
                  <c:v>27.935875177195467</c:v>
                </c:pt>
                <c:pt idx="27">
                  <c:v>27.196920502407934</c:v>
                </c:pt>
                <c:pt idx="28">
                  <c:v>26.446952375495751</c:v>
                </c:pt>
                <c:pt idx="29">
                  <c:v>25.688020109773372</c:v>
                </c:pt>
                <c:pt idx="30">
                  <c:v>24.921990268838528</c:v>
                </c:pt>
                <c:pt idx="31">
                  <c:v>24.150215636118983</c:v>
                </c:pt>
                <c:pt idx="32">
                  <c:v>23.373660205524079</c:v>
                </c:pt>
                <c:pt idx="33">
                  <c:v>22.591901240368273</c:v>
                </c:pt>
                <c:pt idx="34">
                  <c:v>21.803229327762043</c:v>
                </c:pt>
                <c:pt idx="35">
                  <c:v>21.004235290368271</c:v>
                </c:pt>
                <c:pt idx="36">
                  <c:v>20.189797631869688</c:v>
                </c:pt>
                <c:pt idx="37">
                  <c:v>19.352825610623228</c:v>
                </c:pt>
                <c:pt idx="38">
                  <c:v>18.485537921954677</c:v>
                </c:pt>
                <c:pt idx="39">
                  <c:v>17.579830997308783</c:v>
                </c:pt>
                <c:pt idx="40">
                  <c:v>16.628645385694053</c:v>
                </c:pt>
                <c:pt idx="41">
                  <c:v>15.626845186685554</c:v>
                </c:pt>
                <c:pt idx="42">
                  <c:v>14.57267506756374</c:v>
                </c:pt>
                <c:pt idx="43">
                  <c:v>13.467754508356942</c:v>
                </c:pt>
                <c:pt idx="44">
                  <c:v>12.317699896458924</c:v>
                </c:pt>
                <c:pt idx="45">
                  <c:v>11.132455178470256</c:v>
                </c:pt>
                <c:pt idx="46">
                  <c:v>9.9251181328611917</c:v>
                </c:pt>
                <c:pt idx="47">
                  <c:v>8.7129116432011333</c:v>
                </c:pt>
                <c:pt idx="48">
                  <c:v>7.5156231890934855</c:v>
                </c:pt>
                <c:pt idx="49">
                  <c:v>6.354576177337111</c:v>
                </c:pt>
                <c:pt idx="50">
                  <c:v>5.2526340460339949</c:v>
                </c:pt>
                <c:pt idx="51">
                  <c:v>4.2318739116147315</c:v>
                </c:pt>
                <c:pt idx="52">
                  <c:v>3.3113094597733714</c:v>
                </c:pt>
                <c:pt idx="53">
                  <c:v>2.5062405560906518</c:v>
                </c:pt>
                <c:pt idx="54">
                  <c:v>1.827116371104816</c:v>
                </c:pt>
                <c:pt idx="55">
                  <c:v>1.2763093793201132</c:v>
                </c:pt>
                <c:pt idx="56">
                  <c:v>0.84933140835694054</c:v>
                </c:pt>
                <c:pt idx="57">
                  <c:v>0.535184057082153</c:v>
                </c:pt>
                <c:pt idx="58">
                  <c:v>0.3164294148725213</c:v>
                </c:pt>
                <c:pt idx="59">
                  <c:v>0.17425140651558074</c:v>
                </c:pt>
                <c:pt idx="60">
                  <c:v>8.8912423796033993E-2</c:v>
                </c:pt>
                <c:pt idx="61">
                  <c:v>4.1140647167138812E-2</c:v>
                </c:pt>
                <c:pt idx="62">
                  <c:v>1.7620623654390936E-2</c:v>
                </c:pt>
                <c:pt idx="63">
                  <c:v>6.9995243626062324E-3</c:v>
                </c:pt>
                <c:pt idx="64">
                  <c:v>3.016176062322946E-3</c:v>
                </c:pt>
                <c:pt idx="65">
                  <c:v>7.9184334277620399E-4</c:v>
                </c:pt>
                <c:pt idx="66">
                  <c:v>1.4389631728045329E-4</c:v>
                </c:pt>
                <c:pt idx="67">
                  <c:v>-1.9381898016997167E-4</c:v>
                </c:pt>
                <c:pt idx="68">
                  <c:v>5.8064164305949012E-5</c:v>
                </c:pt>
                <c:pt idx="69">
                  <c:v>-1.5049235127478753E-4</c:v>
                </c:pt>
                <c:pt idx="70">
                  <c:v>-3.6065453257790367E-4</c:v>
                </c:pt>
                <c:pt idx="71">
                  <c:v>1.4052974504249292E-4</c:v>
                </c:pt>
                <c:pt idx="72">
                  <c:v>-8.9846600566572242E-5</c:v>
                </c:pt>
                <c:pt idx="73">
                  <c:v>-2.6509773371104819E-4</c:v>
                </c:pt>
                <c:pt idx="74">
                  <c:v>-3.7972662889518411E-5</c:v>
                </c:pt>
                <c:pt idx="75">
                  <c:v>1.6494504249291785E-4</c:v>
                </c:pt>
                <c:pt idx="76">
                  <c:v>2.7739249291784706E-4</c:v>
                </c:pt>
                <c:pt idx="77">
                  <c:v>-2.65971388101983E-4</c:v>
                </c:pt>
                <c:pt idx="78">
                  <c:v>2.1561189801699716E-5</c:v>
                </c:pt>
                <c:pt idx="79">
                  <c:v>-7.9039660056657226E-5</c:v>
                </c:pt>
                <c:pt idx="80">
                  <c:v>-3.0668696883852693E-5</c:v>
                </c:pt>
              </c:numCache>
            </c:numRef>
          </c:yVal>
          <c:smooth val="1"/>
        </c:ser>
        <c:ser>
          <c:idx val="4"/>
          <c:order val="4"/>
          <c:marker>
            <c:symbol val="none"/>
          </c:marker>
          <c:xVal>
            <c:numRef>
              <c:f>SensChanelWidth!$D$26:$D$106</c:f>
              <c:numCache>
                <c:formatCode>0.0</c:formatCode>
                <c:ptCount val="81"/>
                <c:pt idx="0">
                  <c:v>0.79432823472428149</c:v>
                </c:pt>
                <c:pt idx="1">
                  <c:v>0.90157113760595697</c:v>
                </c:pt>
                <c:pt idx="2">
                  <c:v>1.0232929922807541</c:v>
                </c:pt>
                <c:pt idx="3">
                  <c:v>1.1614486138403428</c:v>
                </c:pt>
                <c:pt idx="4">
                  <c:v>1.3182567385564072</c:v>
                </c:pt>
                <c:pt idx="5">
                  <c:v>1.4962356560944334</c:v>
                </c:pt>
                <c:pt idx="6">
                  <c:v>1.6982436524617444</c:v>
                </c:pt>
                <c:pt idx="7">
                  <c:v>1.9275249131909362</c:v>
                </c:pt>
                <c:pt idx="8">
                  <c:v>2.1877616239495525</c:v>
                </c:pt>
                <c:pt idx="9">
                  <c:v>2.4831331052955701</c:v>
                </c:pt>
                <c:pt idx="10">
                  <c:v>2.8183829312644537</c:v>
                </c:pt>
                <c:pt idx="11">
                  <c:v>3.198895109691398</c:v>
                </c:pt>
                <c:pt idx="12">
                  <c:v>3.630780547701014</c:v>
                </c:pt>
                <c:pt idx="13">
                  <c:v>4.1209751909733034</c:v>
                </c:pt>
                <c:pt idx="14">
                  <c:v>4.6773514128719844</c:v>
                </c:pt>
                <c:pt idx="15">
                  <c:v>5.3088444423098871</c:v>
                </c:pt>
                <c:pt idx="16">
                  <c:v>6.0255958607435822</c:v>
                </c:pt>
                <c:pt idx="17">
                  <c:v>6.8391164728142995</c:v>
                </c:pt>
                <c:pt idx="18">
                  <c:v>7.7624711662869235</c:v>
                </c:pt>
                <c:pt idx="19">
                  <c:v>8.8104887300801522</c:v>
                </c:pt>
                <c:pt idx="20">
                  <c:v>10.000000000000011</c:v>
                </c:pt>
                <c:pt idx="21">
                  <c:v>11.350108156723163</c:v>
                </c:pt>
                <c:pt idx="22">
                  <c:v>12.882495516931352</c:v>
                </c:pt>
                <c:pt idx="23">
                  <c:v>14.621771744567194</c:v>
                </c:pt>
                <c:pt idx="24">
                  <c:v>16.595869074375621</c:v>
                </c:pt>
                <c:pt idx="25">
                  <c:v>18.83649089489802</c:v>
                </c:pt>
                <c:pt idx="26">
                  <c:v>21.379620895022335</c:v>
                </c:pt>
                <c:pt idx="27">
                  <c:v>24.266100950824168</c:v>
                </c:pt>
                <c:pt idx="28">
                  <c:v>27.542287033381665</c:v>
                </c:pt>
                <c:pt idx="29">
                  <c:v>31.260793671239547</c:v>
                </c:pt>
                <c:pt idx="30">
                  <c:v>35.481338923357541</c:v>
                </c:pt>
                <c:pt idx="31">
                  <c:v>40.271703432545898</c:v>
                </c:pt>
                <c:pt idx="32">
                  <c:v>45.708818961487488</c:v>
                </c:pt>
                <c:pt idx="33">
                  <c:v>51.880003892896092</c:v>
                </c:pt>
                <c:pt idx="34">
                  <c:v>58.884365535558842</c:v>
                </c:pt>
                <c:pt idx="35">
                  <c:v>66.834391756861422</c:v>
                </c:pt>
                <c:pt idx="36">
                  <c:v>75.85775750291829</c:v>
                </c:pt>
                <c:pt idx="37">
                  <c:v>86.099375218459997</c:v>
                </c:pt>
                <c:pt idx="38">
                  <c:v>97.723722095580953</c:v>
                </c:pt>
                <c:pt idx="39">
                  <c:v>110.91748152624001</c:v>
                </c:pt>
                <c:pt idx="40">
                  <c:v>125.89254117941665</c:v>
                </c:pt>
                <c:pt idx="41">
                  <c:v>142.88939585111027</c:v>
                </c:pt>
                <c:pt idx="42">
                  <c:v>162.18100973589304</c:v>
                </c:pt>
                <c:pt idx="43">
                  <c:v>184.07720014689568</c:v>
                </c:pt>
                <c:pt idx="44">
                  <c:v>208.92961308540416</c:v>
                </c:pt>
                <c:pt idx="45">
                  <c:v>237.13737056616583</c:v>
                </c:pt>
                <c:pt idx="46">
                  <c:v>269.15348039269202</c:v>
                </c:pt>
                <c:pt idx="47">
                  <c:v>305.49211132155193</c:v>
                </c:pt>
                <c:pt idx="48">
                  <c:v>346.73685045253245</c:v>
                </c:pt>
                <c:pt idx="49">
                  <c:v>393.55007545577854</c:v>
                </c:pt>
                <c:pt idx="50">
                  <c:v>446.6835921509645</c:v>
                </c:pt>
                <c:pt idx="51">
                  <c:v>506.99070827470609</c:v>
                </c:pt>
                <c:pt idx="52">
                  <c:v>575.43993733715911</c:v>
                </c:pt>
                <c:pt idx="53">
                  <c:v>653.13055264747504</c:v>
                </c:pt>
                <c:pt idx="54">
                  <c:v>741.31024130092089</c:v>
                </c:pt>
                <c:pt idx="55">
                  <c:v>841.39514164519926</c:v>
                </c:pt>
                <c:pt idx="56">
                  <c:v>954.99258602144096</c:v>
                </c:pt>
                <c:pt idx="57">
                  <c:v>1083.9269140212107</c:v>
                </c:pt>
                <c:pt idx="58">
                  <c:v>1230.2687708123901</c:v>
                </c:pt>
                <c:pt idx="59">
                  <c:v>1396.3683610559478</c:v>
                </c:pt>
                <c:pt idx="60">
                  <c:v>1584.8931924611256</c:v>
                </c:pt>
                <c:pt idx="61">
                  <c:v>1798.8709151288022</c:v>
                </c:pt>
                <c:pt idx="62">
                  <c:v>2041.7379446695463</c:v>
                </c:pt>
                <c:pt idx="63">
                  <c:v>2317.3946499684989</c:v>
                </c:pt>
                <c:pt idx="64">
                  <c:v>2630.2679918954059</c:v>
                </c:pt>
                <c:pt idx="65">
                  <c:v>2985.3826189179877</c:v>
                </c:pt>
                <c:pt idx="66">
                  <c:v>3388.4415613920555</c:v>
                </c:pt>
                <c:pt idx="67">
                  <c:v>3845.9178204535747</c:v>
                </c:pt>
                <c:pt idx="68">
                  <c:v>4365.1583224017013</c:v>
                </c:pt>
                <c:pt idx="69">
                  <c:v>4954.501908047956</c:v>
                </c:pt>
                <c:pt idx="70">
                  <c:v>5623.4132519035493</c:v>
                </c:pt>
                <c:pt idx="71">
                  <c:v>6382.6348619055607</c:v>
                </c:pt>
                <c:pt idx="72">
                  <c:v>7244.3596007499809</c:v>
                </c:pt>
                <c:pt idx="73">
                  <c:v>8222.4264994708137</c:v>
                </c:pt>
                <c:pt idx="74">
                  <c:v>9332.54300797002</c:v>
                </c:pt>
                <c:pt idx="75">
                  <c:v>10592.537251773008</c:v>
                </c:pt>
                <c:pt idx="76">
                  <c:v>12022.644346174258</c:v>
                </c:pt>
                <c:pt idx="77">
                  <c:v>13645.831365889386</c:v>
                </c:pt>
                <c:pt idx="78">
                  <c:v>15488.166189124964</c:v>
                </c:pt>
                <c:pt idx="79">
                  <c:v>17579.236139587087</c:v>
                </c:pt>
                <c:pt idx="80">
                  <c:v>19952.62314968897</c:v>
                </c:pt>
              </c:numCache>
            </c:numRef>
          </c:xVal>
          <c:yVal>
            <c:numRef>
              <c:f>SensChanelWidth!$I$26:$I$106</c:f>
              <c:numCache>
                <c:formatCode>0.0</c:formatCode>
                <c:ptCount val="81"/>
                <c:pt idx="0">
                  <c:v>45.169113875212467</c:v>
                </c:pt>
                <c:pt idx="1">
                  <c:v>44.336484906090654</c:v>
                </c:pt>
                <c:pt idx="2">
                  <c:v>43.526916435694048</c:v>
                </c:pt>
                <c:pt idx="3">
                  <c:v>42.748611530169974</c:v>
                </c:pt>
                <c:pt idx="4">
                  <c:v>41.952126667563739</c:v>
                </c:pt>
                <c:pt idx="5">
                  <c:v>41.239640922804533</c:v>
                </c:pt>
                <c:pt idx="6">
                  <c:v>40.524333026203969</c:v>
                </c:pt>
                <c:pt idx="7">
                  <c:v>39.811199313031167</c:v>
                </c:pt>
                <c:pt idx="8">
                  <c:v>39.128449091501423</c:v>
                </c:pt>
                <c:pt idx="9">
                  <c:v>38.455543900566575</c:v>
                </c:pt>
                <c:pt idx="10">
                  <c:v>37.786909323796031</c:v>
                </c:pt>
                <c:pt idx="11">
                  <c:v>37.102425326203964</c:v>
                </c:pt>
                <c:pt idx="12">
                  <c:v>36.446007043201135</c:v>
                </c:pt>
                <c:pt idx="13">
                  <c:v>35.753435905807365</c:v>
                </c:pt>
                <c:pt idx="14">
                  <c:v>35.03446968711048</c:v>
                </c:pt>
                <c:pt idx="15">
                  <c:v>34.297806298866853</c:v>
                </c:pt>
                <c:pt idx="16">
                  <c:v>33.539907117705383</c:v>
                </c:pt>
                <c:pt idx="17">
                  <c:v>32.76079434107649</c:v>
                </c:pt>
                <c:pt idx="18">
                  <c:v>31.961441241501419</c:v>
                </c:pt>
                <c:pt idx="19">
                  <c:v>31.144253331586405</c:v>
                </c:pt>
                <c:pt idx="20">
                  <c:v>30.310617010481586</c:v>
                </c:pt>
                <c:pt idx="21">
                  <c:v>29.468176722946176</c:v>
                </c:pt>
                <c:pt idx="22">
                  <c:v>28.61646377988669</c:v>
                </c:pt>
                <c:pt idx="23">
                  <c:v>27.752434511473091</c:v>
                </c:pt>
                <c:pt idx="24">
                  <c:v>26.895101255099149</c:v>
                </c:pt>
                <c:pt idx="25">
                  <c:v>26.038153611756375</c:v>
                </c:pt>
                <c:pt idx="26">
                  <c:v>25.18619091883853</c:v>
                </c:pt>
                <c:pt idx="27">
                  <c:v>24.342203966430596</c:v>
                </c:pt>
                <c:pt idx="28">
                  <c:v>23.508617440226633</c:v>
                </c:pt>
                <c:pt idx="29">
                  <c:v>22.68721678229462</c:v>
                </c:pt>
                <c:pt idx="30">
                  <c:v>21.87896119985836</c:v>
                </c:pt>
                <c:pt idx="31">
                  <c:v>21.084110165014167</c:v>
                </c:pt>
                <c:pt idx="32">
                  <c:v>20.302215071104818</c:v>
                </c:pt>
                <c:pt idx="33">
                  <c:v>19.532286201558076</c:v>
                </c:pt>
                <c:pt idx="34">
                  <c:v>18.772683813739377</c:v>
                </c:pt>
                <c:pt idx="35">
                  <c:v>18.021240656090651</c:v>
                </c:pt>
                <c:pt idx="36">
                  <c:v>17.27530887266289</c:v>
                </c:pt>
                <c:pt idx="37">
                  <c:v>16.531951651558074</c:v>
                </c:pt>
                <c:pt idx="38">
                  <c:v>15.787593308498586</c:v>
                </c:pt>
                <c:pt idx="39">
                  <c:v>15.038392217988671</c:v>
                </c:pt>
                <c:pt idx="40">
                  <c:v>14.279636998583571</c:v>
                </c:pt>
                <c:pt idx="41">
                  <c:v>13.507015495467424</c:v>
                </c:pt>
                <c:pt idx="42">
                  <c:v>12.715339432861191</c:v>
                </c:pt>
                <c:pt idx="43">
                  <c:v>11.900670487818697</c:v>
                </c:pt>
                <c:pt idx="44">
                  <c:v>11.06038427776204</c:v>
                </c:pt>
                <c:pt idx="45">
                  <c:v>10.193305907223797</c:v>
                </c:pt>
                <c:pt idx="46">
                  <c:v>9.3017824143059507</c:v>
                </c:pt>
                <c:pt idx="47">
                  <c:v>8.3906432407932012</c:v>
                </c:pt>
                <c:pt idx="48">
                  <c:v>7.467977830028329</c:v>
                </c:pt>
                <c:pt idx="49">
                  <c:v>6.5451378076487261</c:v>
                </c:pt>
                <c:pt idx="50">
                  <c:v>5.6363132706798869</c:v>
                </c:pt>
                <c:pt idx="51">
                  <c:v>4.7571083103399436</c:v>
                </c:pt>
                <c:pt idx="52">
                  <c:v>3.9243758406515581</c:v>
                </c:pt>
                <c:pt idx="53">
                  <c:v>3.1544657617563741</c:v>
                </c:pt>
                <c:pt idx="54">
                  <c:v>2.4619074825779039</c:v>
                </c:pt>
                <c:pt idx="55">
                  <c:v>1.8582192427762039</c:v>
                </c:pt>
                <c:pt idx="56">
                  <c:v>1.3502823859773372</c:v>
                </c:pt>
                <c:pt idx="57">
                  <c:v>0.93993695580736547</c:v>
                </c:pt>
                <c:pt idx="58">
                  <c:v>0.62271522237960342</c:v>
                </c:pt>
                <c:pt idx="59">
                  <c:v>0.39011917124645895</c:v>
                </c:pt>
                <c:pt idx="60">
                  <c:v>0.22952381940509917</c:v>
                </c:pt>
                <c:pt idx="61">
                  <c:v>0.12559859348441929</c:v>
                </c:pt>
                <c:pt idx="62">
                  <c:v>6.3217792492917854E-2</c:v>
                </c:pt>
                <c:pt idx="63">
                  <c:v>2.9402326203966007E-2</c:v>
                </c:pt>
                <c:pt idx="64">
                  <c:v>1.200248937677054E-2</c:v>
                </c:pt>
                <c:pt idx="65">
                  <c:v>4.6749060906515587E-3</c:v>
                </c:pt>
                <c:pt idx="66">
                  <c:v>1.8108305949008498E-3</c:v>
                </c:pt>
                <c:pt idx="67">
                  <c:v>1.2013050991501416E-3</c:v>
                </c:pt>
                <c:pt idx="68">
                  <c:v>7.0424433427762048E-4</c:v>
                </c:pt>
                <c:pt idx="69">
                  <c:v>-1.2238399433427762E-4</c:v>
                </c:pt>
                <c:pt idx="70">
                  <c:v>1.4304532577903684E-4</c:v>
                </c:pt>
                <c:pt idx="71">
                  <c:v>-4.005735127478754E-4</c:v>
                </c:pt>
                <c:pt idx="72">
                  <c:v>-5.8274447592067988E-4</c:v>
                </c:pt>
                <c:pt idx="73">
                  <c:v>-1.3060141643059491E-4</c:v>
                </c:pt>
                <c:pt idx="74">
                  <c:v>-1.7948725212464591E-4</c:v>
                </c:pt>
                <c:pt idx="75">
                  <c:v>4.1301699716713883E-6</c:v>
                </c:pt>
                <c:pt idx="76">
                  <c:v>-1.3543130311614732E-4</c:v>
                </c:pt>
                <c:pt idx="77">
                  <c:v>1.5818640226628896E-4</c:v>
                </c:pt>
                <c:pt idx="78">
                  <c:v>-5.1127478753541084E-5</c:v>
                </c:pt>
                <c:pt idx="79">
                  <c:v>-3.3190368271954679E-5</c:v>
                </c:pt>
                <c:pt idx="80">
                  <c:v>6.9401274787535413E-5</c:v>
                </c:pt>
              </c:numCache>
            </c:numRef>
          </c:yVal>
          <c:smooth val="1"/>
        </c:ser>
        <c:ser>
          <c:idx val="5"/>
          <c:order val="5"/>
          <c:marker>
            <c:symbol val="none"/>
          </c:marker>
          <c:xVal>
            <c:numRef>
              <c:f>SensChanelWidth!$D$26:$D$106</c:f>
              <c:numCache>
                <c:formatCode>0.0</c:formatCode>
                <c:ptCount val="81"/>
                <c:pt idx="0">
                  <c:v>0.79432823472428149</c:v>
                </c:pt>
                <c:pt idx="1">
                  <c:v>0.90157113760595697</c:v>
                </c:pt>
                <c:pt idx="2">
                  <c:v>1.0232929922807541</c:v>
                </c:pt>
                <c:pt idx="3">
                  <c:v>1.1614486138403428</c:v>
                </c:pt>
                <c:pt idx="4">
                  <c:v>1.3182567385564072</c:v>
                </c:pt>
                <c:pt idx="5">
                  <c:v>1.4962356560944334</c:v>
                </c:pt>
                <c:pt idx="6">
                  <c:v>1.6982436524617444</c:v>
                </c:pt>
                <c:pt idx="7">
                  <c:v>1.9275249131909362</c:v>
                </c:pt>
                <c:pt idx="8">
                  <c:v>2.1877616239495525</c:v>
                </c:pt>
                <c:pt idx="9">
                  <c:v>2.4831331052955701</c:v>
                </c:pt>
                <c:pt idx="10">
                  <c:v>2.8183829312644537</c:v>
                </c:pt>
                <c:pt idx="11">
                  <c:v>3.198895109691398</c:v>
                </c:pt>
                <c:pt idx="12">
                  <c:v>3.630780547701014</c:v>
                </c:pt>
                <c:pt idx="13">
                  <c:v>4.1209751909733034</c:v>
                </c:pt>
                <c:pt idx="14">
                  <c:v>4.6773514128719844</c:v>
                </c:pt>
                <c:pt idx="15">
                  <c:v>5.3088444423098871</c:v>
                </c:pt>
                <c:pt idx="16">
                  <c:v>6.0255958607435822</c:v>
                </c:pt>
                <c:pt idx="17">
                  <c:v>6.8391164728142995</c:v>
                </c:pt>
                <c:pt idx="18">
                  <c:v>7.7624711662869235</c:v>
                </c:pt>
                <c:pt idx="19">
                  <c:v>8.8104887300801522</c:v>
                </c:pt>
                <c:pt idx="20">
                  <c:v>10.000000000000011</c:v>
                </c:pt>
                <c:pt idx="21">
                  <c:v>11.350108156723163</c:v>
                </c:pt>
                <c:pt idx="22">
                  <c:v>12.882495516931352</c:v>
                </c:pt>
                <c:pt idx="23">
                  <c:v>14.621771744567194</c:v>
                </c:pt>
                <c:pt idx="24">
                  <c:v>16.595869074375621</c:v>
                </c:pt>
                <c:pt idx="25">
                  <c:v>18.83649089489802</c:v>
                </c:pt>
                <c:pt idx="26">
                  <c:v>21.379620895022335</c:v>
                </c:pt>
                <c:pt idx="27">
                  <c:v>24.266100950824168</c:v>
                </c:pt>
                <c:pt idx="28">
                  <c:v>27.542287033381665</c:v>
                </c:pt>
                <c:pt idx="29">
                  <c:v>31.260793671239547</c:v>
                </c:pt>
                <c:pt idx="30">
                  <c:v>35.481338923357541</c:v>
                </c:pt>
                <c:pt idx="31">
                  <c:v>40.271703432545898</c:v>
                </c:pt>
                <c:pt idx="32">
                  <c:v>45.708818961487488</c:v>
                </c:pt>
                <c:pt idx="33">
                  <c:v>51.880003892896092</c:v>
                </c:pt>
                <c:pt idx="34">
                  <c:v>58.884365535558842</c:v>
                </c:pt>
                <c:pt idx="35">
                  <c:v>66.834391756861422</c:v>
                </c:pt>
                <c:pt idx="36">
                  <c:v>75.85775750291829</c:v>
                </c:pt>
                <c:pt idx="37">
                  <c:v>86.099375218459997</c:v>
                </c:pt>
                <c:pt idx="38">
                  <c:v>97.723722095580953</c:v>
                </c:pt>
                <c:pt idx="39">
                  <c:v>110.91748152624001</c:v>
                </c:pt>
                <c:pt idx="40">
                  <c:v>125.89254117941665</c:v>
                </c:pt>
                <c:pt idx="41">
                  <c:v>142.88939585111027</c:v>
                </c:pt>
                <c:pt idx="42">
                  <c:v>162.18100973589304</c:v>
                </c:pt>
                <c:pt idx="43">
                  <c:v>184.07720014689568</c:v>
                </c:pt>
                <c:pt idx="44">
                  <c:v>208.92961308540416</c:v>
                </c:pt>
                <c:pt idx="45">
                  <c:v>237.13737056616583</c:v>
                </c:pt>
                <c:pt idx="46">
                  <c:v>269.15348039269202</c:v>
                </c:pt>
                <c:pt idx="47">
                  <c:v>305.49211132155193</c:v>
                </c:pt>
                <c:pt idx="48">
                  <c:v>346.73685045253245</c:v>
                </c:pt>
                <c:pt idx="49">
                  <c:v>393.55007545577854</c:v>
                </c:pt>
                <c:pt idx="50">
                  <c:v>446.6835921509645</c:v>
                </c:pt>
                <c:pt idx="51">
                  <c:v>506.99070827470609</c:v>
                </c:pt>
                <c:pt idx="52">
                  <c:v>575.43993733715911</c:v>
                </c:pt>
                <c:pt idx="53">
                  <c:v>653.13055264747504</c:v>
                </c:pt>
                <c:pt idx="54">
                  <c:v>741.31024130092089</c:v>
                </c:pt>
                <c:pt idx="55">
                  <c:v>841.39514164519926</c:v>
                </c:pt>
                <c:pt idx="56">
                  <c:v>954.99258602144096</c:v>
                </c:pt>
                <c:pt idx="57">
                  <c:v>1083.9269140212107</c:v>
                </c:pt>
                <c:pt idx="58">
                  <c:v>1230.2687708123901</c:v>
                </c:pt>
                <c:pt idx="59">
                  <c:v>1396.3683610559478</c:v>
                </c:pt>
                <c:pt idx="60">
                  <c:v>1584.8931924611256</c:v>
                </c:pt>
                <c:pt idx="61">
                  <c:v>1798.8709151288022</c:v>
                </c:pt>
                <c:pt idx="62">
                  <c:v>2041.7379446695463</c:v>
                </c:pt>
                <c:pt idx="63">
                  <c:v>2317.3946499684989</c:v>
                </c:pt>
                <c:pt idx="64">
                  <c:v>2630.2679918954059</c:v>
                </c:pt>
                <c:pt idx="65">
                  <c:v>2985.3826189179877</c:v>
                </c:pt>
                <c:pt idx="66">
                  <c:v>3388.4415613920555</c:v>
                </c:pt>
                <c:pt idx="67">
                  <c:v>3845.9178204535747</c:v>
                </c:pt>
                <c:pt idx="68">
                  <c:v>4365.1583224017013</c:v>
                </c:pt>
                <c:pt idx="69">
                  <c:v>4954.501908047956</c:v>
                </c:pt>
                <c:pt idx="70">
                  <c:v>5623.4132519035493</c:v>
                </c:pt>
                <c:pt idx="71">
                  <c:v>6382.6348619055607</c:v>
                </c:pt>
                <c:pt idx="72">
                  <c:v>7244.3596007499809</c:v>
                </c:pt>
                <c:pt idx="73">
                  <c:v>8222.4264994708137</c:v>
                </c:pt>
                <c:pt idx="74">
                  <c:v>9332.54300797002</c:v>
                </c:pt>
                <c:pt idx="75">
                  <c:v>10592.537251773008</c:v>
                </c:pt>
                <c:pt idx="76">
                  <c:v>12022.644346174258</c:v>
                </c:pt>
                <c:pt idx="77">
                  <c:v>13645.831365889386</c:v>
                </c:pt>
                <c:pt idx="78">
                  <c:v>15488.166189124964</c:v>
                </c:pt>
                <c:pt idx="79">
                  <c:v>17579.236139587087</c:v>
                </c:pt>
                <c:pt idx="80">
                  <c:v>19952.62314968897</c:v>
                </c:pt>
              </c:numCache>
            </c:numRef>
          </c:xVal>
          <c:yVal>
            <c:numRef>
              <c:f>SensChanelWidth!$J$26:$J$106</c:f>
              <c:numCache>
                <c:formatCode>0.0</c:formatCode>
                <c:ptCount val="81"/>
                <c:pt idx="0">
                  <c:v>45.136514401983007</c:v>
                </c:pt>
                <c:pt idx="1">
                  <c:v>44.323282352691223</c:v>
                </c:pt>
                <c:pt idx="2">
                  <c:v>43.507567752691223</c:v>
                </c:pt>
                <c:pt idx="3">
                  <c:v>42.633378666572234</c:v>
                </c:pt>
                <c:pt idx="4">
                  <c:v>41.860086167988676</c:v>
                </c:pt>
                <c:pt idx="5">
                  <c:v>41.052523396033997</c:v>
                </c:pt>
                <c:pt idx="6">
                  <c:v>40.237556345042499</c:v>
                </c:pt>
                <c:pt idx="7">
                  <c:v>39.384601902266297</c:v>
                </c:pt>
                <c:pt idx="8">
                  <c:v>38.555453750708217</c:v>
                </c:pt>
                <c:pt idx="9">
                  <c:v>37.677061366997172</c:v>
                </c:pt>
                <c:pt idx="10">
                  <c:v>36.807860832436262</c:v>
                </c:pt>
                <c:pt idx="11">
                  <c:v>35.889843256798869</c:v>
                </c:pt>
                <c:pt idx="12">
                  <c:v>34.908251427053827</c:v>
                </c:pt>
                <c:pt idx="13">
                  <c:v>33.958912266147308</c:v>
                </c:pt>
                <c:pt idx="14">
                  <c:v>32.991954798866857</c:v>
                </c:pt>
                <c:pt idx="15">
                  <c:v>32.020517157790366</c:v>
                </c:pt>
                <c:pt idx="16">
                  <c:v>31.027975075212467</c:v>
                </c:pt>
                <c:pt idx="17">
                  <c:v>30.044073770254958</c:v>
                </c:pt>
                <c:pt idx="18">
                  <c:v>29.071396280736543</c:v>
                </c:pt>
                <c:pt idx="19">
                  <c:v>28.095811998583571</c:v>
                </c:pt>
                <c:pt idx="20">
                  <c:v>27.135824331728049</c:v>
                </c:pt>
                <c:pt idx="21">
                  <c:v>26.19289315736544</c:v>
                </c:pt>
                <c:pt idx="22">
                  <c:v>25.270758616288951</c:v>
                </c:pt>
                <c:pt idx="23">
                  <c:v>24.372275514872523</c:v>
                </c:pt>
                <c:pt idx="24">
                  <c:v>23.499817627620398</c:v>
                </c:pt>
                <c:pt idx="25">
                  <c:v>22.654534621104816</c:v>
                </c:pt>
                <c:pt idx="26">
                  <c:v>21.837152559773372</c:v>
                </c:pt>
                <c:pt idx="27">
                  <c:v>21.047315173371107</c:v>
                </c:pt>
                <c:pt idx="28">
                  <c:v>20.28402871203966</c:v>
                </c:pt>
                <c:pt idx="29">
                  <c:v>19.54556211529745</c:v>
                </c:pt>
                <c:pt idx="30">
                  <c:v>18.829726842776203</c:v>
                </c:pt>
                <c:pt idx="31">
                  <c:v>18.133944897025497</c:v>
                </c:pt>
                <c:pt idx="32">
                  <c:v>17.455571764447594</c:v>
                </c:pt>
                <c:pt idx="33">
                  <c:v>16.791503730594901</c:v>
                </c:pt>
                <c:pt idx="34">
                  <c:v>16.139157037677055</c:v>
                </c:pt>
                <c:pt idx="35">
                  <c:v>15.495473485269123</c:v>
                </c:pt>
                <c:pt idx="36">
                  <c:v>14.85791446713881</c:v>
                </c:pt>
                <c:pt idx="37">
                  <c:v>14.223896485127479</c:v>
                </c:pt>
                <c:pt idx="38">
                  <c:v>13.590973362039662</c:v>
                </c:pt>
                <c:pt idx="39">
                  <c:v>12.957134411756375</c:v>
                </c:pt>
                <c:pt idx="40">
                  <c:v>12.320617404532578</c:v>
                </c:pt>
                <c:pt idx="41">
                  <c:v>11.679604174504249</c:v>
                </c:pt>
                <c:pt idx="42">
                  <c:v>11.032778266430595</c:v>
                </c:pt>
                <c:pt idx="43">
                  <c:v>10.379275786402266</c:v>
                </c:pt>
                <c:pt idx="44">
                  <c:v>9.7181234096317279</c:v>
                </c:pt>
                <c:pt idx="45">
                  <c:v>9.048917535552409</c:v>
                </c:pt>
                <c:pt idx="46">
                  <c:v>8.3712796980169966</c:v>
                </c:pt>
                <c:pt idx="47">
                  <c:v>7.6857951070821535</c:v>
                </c:pt>
                <c:pt idx="48">
                  <c:v>6.9935162973087825</c:v>
                </c:pt>
                <c:pt idx="49">
                  <c:v>6.2973009039660059</c:v>
                </c:pt>
                <c:pt idx="50">
                  <c:v>5.6012161807365439</c:v>
                </c:pt>
                <c:pt idx="51">
                  <c:v>4.9115011249291785</c:v>
                </c:pt>
                <c:pt idx="52">
                  <c:v>4.2357921997167143</c:v>
                </c:pt>
                <c:pt idx="53">
                  <c:v>3.5836515650141649</c:v>
                </c:pt>
                <c:pt idx="54">
                  <c:v>2.9662432168555242</c:v>
                </c:pt>
                <c:pt idx="55">
                  <c:v>2.3942993140226632</c:v>
                </c:pt>
                <c:pt idx="56">
                  <c:v>1.877955718838527</c:v>
                </c:pt>
                <c:pt idx="57">
                  <c:v>1.4259893005665725</c:v>
                </c:pt>
                <c:pt idx="58">
                  <c:v>1.0429712101983004</c:v>
                </c:pt>
                <c:pt idx="59">
                  <c:v>0.73123064645892355</c:v>
                </c:pt>
                <c:pt idx="60">
                  <c:v>0.48907046444759211</c:v>
                </c:pt>
                <c:pt idx="61">
                  <c:v>0.30941459121813036</c:v>
                </c:pt>
                <c:pt idx="62">
                  <c:v>0.18413836487252125</c:v>
                </c:pt>
                <c:pt idx="63">
                  <c:v>0.10198117776203967</c:v>
                </c:pt>
                <c:pt idx="64">
                  <c:v>5.2635833711048165E-2</c:v>
                </c:pt>
                <c:pt idx="65">
                  <c:v>2.4450184844192636E-2</c:v>
                </c:pt>
                <c:pt idx="66">
                  <c:v>1.0304007507082154E-2</c:v>
                </c:pt>
                <c:pt idx="67">
                  <c:v>3.829104249291785E-3</c:v>
                </c:pt>
                <c:pt idx="68">
                  <c:v>1.5249600566572237E-3</c:v>
                </c:pt>
                <c:pt idx="69">
                  <c:v>7.9829164305949012E-4</c:v>
                </c:pt>
                <c:pt idx="70">
                  <c:v>2.5028229461756374E-4</c:v>
                </c:pt>
                <c:pt idx="71">
                  <c:v>9.746657223796035E-5</c:v>
                </c:pt>
                <c:pt idx="72">
                  <c:v>-8.0071246458923514E-5</c:v>
                </c:pt>
                <c:pt idx="73">
                  <c:v>-2.6760566572237959E-4</c:v>
                </c:pt>
                <c:pt idx="74">
                  <c:v>-1.6995750708215297E-4</c:v>
                </c:pt>
                <c:pt idx="75">
                  <c:v>-9.0511048158640231E-5</c:v>
                </c:pt>
                <c:pt idx="76">
                  <c:v>1.3495028328611898E-4</c:v>
                </c:pt>
                <c:pt idx="77">
                  <c:v>-1.1542677053824363E-4</c:v>
                </c:pt>
                <c:pt idx="78">
                  <c:v>1.0239971671388103E-4</c:v>
                </c:pt>
                <c:pt idx="79">
                  <c:v>2.2807365439093489E-6</c:v>
                </c:pt>
                <c:pt idx="80">
                  <c:v>-2.3743767705382439E-5</c:v>
                </c:pt>
              </c:numCache>
            </c:numRef>
          </c:yVal>
          <c:smooth val="1"/>
        </c:ser>
        <c:ser>
          <c:idx val="6"/>
          <c:order val="6"/>
          <c:marker>
            <c:symbol val="none"/>
          </c:marker>
          <c:xVal>
            <c:numRef>
              <c:f>SensChanelWidth!$D$26:$D$106</c:f>
              <c:numCache>
                <c:formatCode>0.0</c:formatCode>
                <c:ptCount val="81"/>
                <c:pt idx="0">
                  <c:v>0.79432823472428149</c:v>
                </c:pt>
                <c:pt idx="1">
                  <c:v>0.90157113760595697</c:v>
                </c:pt>
                <c:pt idx="2">
                  <c:v>1.0232929922807541</c:v>
                </c:pt>
                <c:pt idx="3">
                  <c:v>1.1614486138403428</c:v>
                </c:pt>
                <c:pt idx="4">
                  <c:v>1.3182567385564072</c:v>
                </c:pt>
                <c:pt idx="5">
                  <c:v>1.4962356560944334</c:v>
                </c:pt>
                <c:pt idx="6">
                  <c:v>1.6982436524617444</c:v>
                </c:pt>
                <c:pt idx="7">
                  <c:v>1.9275249131909362</c:v>
                </c:pt>
                <c:pt idx="8">
                  <c:v>2.1877616239495525</c:v>
                </c:pt>
                <c:pt idx="9">
                  <c:v>2.4831331052955701</c:v>
                </c:pt>
                <c:pt idx="10">
                  <c:v>2.8183829312644537</c:v>
                </c:pt>
                <c:pt idx="11">
                  <c:v>3.198895109691398</c:v>
                </c:pt>
                <c:pt idx="12">
                  <c:v>3.630780547701014</c:v>
                </c:pt>
                <c:pt idx="13">
                  <c:v>4.1209751909733034</c:v>
                </c:pt>
                <c:pt idx="14">
                  <c:v>4.6773514128719844</c:v>
                </c:pt>
                <c:pt idx="15">
                  <c:v>5.3088444423098871</c:v>
                </c:pt>
                <c:pt idx="16">
                  <c:v>6.0255958607435822</c:v>
                </c:pt>
                <c:pt idx="17">
                  <c:v>6.8391164728142995</c:v>
                </c:pt>
                <c:pt idx="18">
                  <c:v>7.7624711662869235</c:v>
                </c:pt>
                <c:pt idx="19">
                  <c:v>8.8104887300801522</c:v>
                </c:pt>
                <c:pt idx="20">
                  <c:v>10.000000000000011</c:v>
                </c:pt>
                <c:pt idx="21">
                  <c:v>11.350108156723163</c:v>
                </c:pt>
                <c:pt idx="22">
                  <c:v>12.882495516931352</c:v>
                </c:pt>
                <c:pt idx="23">
                  <c:v>14.621771744567194</c:v>
                </c:pt>
                <c:pt idx="24">
                  <c:v>16.595869074375621</c:v>
                </c:pt>
                <c:pt idx="25">
                  <c:v>18.83649089489802</c:v>
                </c:pt>
                <c:pt idx="26">
                  <c:v>21.379620895022335</c:v>
                </c:pt>
                <c:pt idx="27">
                  <c:v>24.266100950824168</c:v>
                </c:pt>
                <c:pt idx="28">
                  <c:v>27.542287033381665</c:v>
                </c:pt>
                <c:pt idx="29">
                  <c:v>31.260793671239547</c:v>
                </c:pt>
                <c:pt idx="30">
                  <c:v>35.481338923357541</c:v>
                </c:pt>
                <c:pt idx="31">
                  <c:v>40.271703432545898</c:v>
                </c:pt>
                <c:pt idx="32">
                  <c:v>45.708818961487488</c:v>
                </c:pt>
                <c:pt idx="33">
                  <c:v>51.880003892896092</c:v>
                </c:pt>
                <c:pt idx="34">
                  <c:v>58.884365535558842</c:v>
                </c:pt>
                <c:pt idx="35">
                  <c:v>66.834391756861422</c:v>
                </c:pt>
                <c:pt idx="36">
                  <c:v>75.85775750291829</c:v>
                </c:pt>
                <c:pt idx="37">
                  <c:v>86.099375218459997</c:v>
                </c:pt>
                <c:pt idx="38">
                  <c:v>97.723722095580953</c:v>
                </c:pt>
                <c:pt idx="39">
                  <c:v>110.91748152624001</c:v>
                </c:pt>
                <c:pt idx="40">
                  <c:v>125.89254117941665</c:v>
                </c:pt>
                <c:pt idx="41">
                  <c:v>142.88939585111027</c:v>
                </c:pt>
                <c:pt idx="42">
                  <c:v>162.18100973589304</c:v>
                </c:pt>
                <c:pt idx="43">
                  <c:v>184.07720014689568</c:v>
                </c:pt>
                <c:pt idx="44">
                  <c:v>208.92961308540416</c:v>
                </c:pt>
                <c:pt idx="45">
                  <c:v>237.13737056616583</c:v>
                </c:pt>
                <c:pt idx="46">
                  <c:v>269.15348039269202</c:v>
                </c:pt>
                <c:pt idx="47">
                  <c:v>305.49211132155193</c:v>
                </c:pt>
                <c:pt idx="48">
                  <c:v>346.73685045253245</c:v>
                </c:pt>
                <c:pt idx="49">
                  <c:v>393.55007545577854</c:v>
                </c:pt>
                <c:pt idx="50">
                  <c:v>446.6835921509645</c:v>
                </c:pt>
                <c:pt idx="51">
                  <c:v>506.99070827470609</c:v>
                </c:pt>
                <c:pt idx="52">
                  <c:v>575.43993733715911</c:v>
                </c:pt>
                <c:pt idx="53">
                  <c:v>653.13055264747504</c:v>
                </c:pt>
                <c:pt idx="54">
                  <c:v>741.31024130092089</c:v>
                </c:pt>
                <c:pt idx="55">
                  <c:v>841.39514164519926</c:v>
                </c:pt>
                <c:pt idx="56">
                  <c:v>954.99258602144096</c:v>
                </c:pt>
                <c:pt idx="57">
                  <c:v>1083.9269140212107</c:v>
                </c:pt>
                <c:pt idx="58">
                  <c:v>1230.2687708123901</c:v>
                </c:pt>
                <c:pt idx="59">
                  <c:v>1396.3683610559478</c:v>
                </c:pt>
                <c:pt idx="60">
                  <c:v>1584.8931924611256</c:v>
                </c:pt>
                <c:pt idx="61">
                  <c:v>1798.8709151288022</c:v>
                </c:pt>
                <c:pt idx="62">
                  <c:v>2041.7379446695463</c:v>
                </c:pt>
                <c:pt idx="63">
                  <c:v>2317.3946499684989</c:v>
                </c:pt>
                <c:pt idx="64">
                  <c:v>2630.2679918954059</c:v>
                </c:pt>
                <c:pt idx="65">
                  <c:v>2985.3826189179877</c:v>
                </c:pt>
                <c:pt idx="66">
                  <c:v>3388.4415613920555</c:v>
                </c:pt>
                <c:pt idx="67">
                  <c:v>3845.9178204535747</c:v>
                </c:pt>
                <c:pt idx="68">
                  <c:v>4365.1583224017013</c:v>
                </c:pt>
                <c:pt idx="69">
                  <c:v>4954.501908047956</c:v>
                </c:pt>
                <c:pt idx="70">
                  <c:v>5623.4132519035493</c:v>
                </c:pt>
                <c:pt idx="71">
                  <c:v>6382.6348619055607</c:v>
                </c:pt>
                <c:pt idx="72">
                  <c:v>7244.3596007499809</c:v>
                </c:pt>
                <c:pt idx="73">
                  <c:v>8222.4264994708137</c:v>
                </c:pt>
                <c:pt idx="74">
                  <c:v>9332.54300797002</c:v>
                </c:pt>
                <c:pt idx="75">
                  <c:v>10592.537251773008</c:v>
                </c:pt>
                <c:pt idx="76">
                  <c:v>12022.644346174258</c:v>
                </c:pt>
                <c:pt idx="77">
                  <c:v>13645.831365889386</c:v>
                </c:pt>
                <c:pt idx="78">
                  <c:v>15488.166189124964</c:v>
                </c:pt>
                <c:pt idx="79">
                  <c:v>17579.236139587087</c:v>
                </c:pt>
                <c:pt idx="80">
                  <c:v>19952.62314968897</c:v>
                </c:pt>
              </c:numCache>
            </c:numRef>
          </c:xVal>
          <c:yVal>
            <c:numRef>
              <c:f>SensChanelWidth!$K$26:$K$106</c:f>
              <c:numCache>
                <c:formatCode>0.0</c:formatCode>
                <c:ptCount val="81"/>
                <c:pt idx="0">
                  <c:v>44.888190336827201</c:v>
                </c:pt>
                <c:pt idx="1">
                  <c:v>43.886456780736545</c:v>
                </c:pt>
                <c:pt idx="2">
                  <c:v>42.788886152407933</c:v>
                </c:pt>
                <c:pt idx="3">
                  <c:v>41.816543251558073</c:v>
                </c:pt>
                <c:pt idx="4">
                  <c:v>40.721441650000003</c:v>
                </c:pt>
                <c:pt idx="5">
                  <c:v>39.656562094900849</c:v>
                </c:pt>
                <c:pt idx="6">
                  <c:v>38.546194021954676</c:v>
                </c:pt>
                <c:pt idx="7">
                  <c:v>37.389993027762038</c:v>
                </c:pt>
                <c:pt idx="8">
                  <c:v>36.272939198866858</c:v>
                </c:pt>
                <c:pt idx="9">
                  <c:v>35.110174482577904</c:v>
                </c:pt>
                <c:pt idx="10">
                  <c:v>33.943465351841361</c:v>
                </c:pt>
                <c:pt idx="11">
                  <c:v>32.796023584844193</c:v>
                </c:pt>
                <c:pt idx="12">
                  <c:v>31.565748713456092</c:v>
                </c:pt>
                <c:pt idx="13">
                  <c:v>30.441558254815867</c:v>
                </c:pt>
                <c:pt idx="14">
                  <c:v>29.345076756090652</c:v>
                </c:pt>
                <c:pt idx="15">
                  <c:v>28.269144607507084</c:v>
                </c:pt>
                <c:pt idx="16">
                  <c:v>27.222621937252125</c:v>
                </c:pt>
                <c:pt idx="17">
                  <c:v>26.211388644192638</c:v>
                </c:pt>
                <c:pt idx="18">
                  <c:v>25.237972044759207</c:v>
                </c:pt>
                <c:pt idx="19">
                  <c:v>24.304570358498584</c:v>
                </c:pt>
                <c:pt idx="20">
                  <c:v>23.411996683002833</c:v>
                </c:pt>
                <c:pt idx="21">
                  <c:v>22.560029504674223</c:v>
                </c:pt>
                <c:pt idx="22">
                  <c:v>21.747797232436263</c:v>
                </c:pt>
                <c:pt idx="23">
                  <c:v>20.97369924008499</c:v>
                </c:pt>
                <c:pt idx="24">
                  <c:v>20.233499658073658</c:v>
                </c:pt>
                <c:pt idx="25">
                  <c:v>19.530975445750709</c:v>
                </c:pt>
                <c:pt idx="26">
                  <c:v>18.847416235127479</c:v>
                </c:pt>
                <c:pt idx="27">
                  <c:v>18.207169471529745</c:v>
                </c:pt>
                <c:pt idx="28">
                  <c:v>17.577661508073657</c:v>
                </c:pt>
                <c:pt idx="29">
                  <c:v>16.969668555382437</c:v>
                </c:pt>
                <c:pt idx="30">
                  <c:v>16.381269910764871</c:v>
                </c:pt>
                <c:pt idx="31">
                  <c:v>15.807737386543911</c:v>
                </c:pt>
                <c:pt idx="32">
                  <c:v>15.246486005949009</c:v>
                </c:pt>
                <c:pt idx="33">
                  <c:v>14.695101601699717</c:v>
                </c:pt>
                <c:pt idx="34">
                  <c:v>14.151201115297452</c:v>
                </c:pt>
                <c:pt idx="35">
                  <c:v>13.612698304249294</c:v>
                </c:pt>
                <c:pt idx="36">
                  <c:v>13.077653756798867</c:v>
                </c:pt>
                <c:pt idx="37">
                  <c:v>12.544129819121814</c:v>
                </c:pt>
                <c:pt idx="38">
                  <c:v>12.010352639660058</c:v>
                </c:pt>
                <c:pt idx="39">
                  <c:v>11.475009353966007</c:v>
                </c:pt>
                <c:pt idx="40">
                  <c:v>10.9365110694051</c:v>
                </c:pt>
                <c:pt idx="41">
                  <c:v>10.393980259065156</c:v>
                </c:pt>
                <c:pt idx="42">
                  <c:v>9.8464396774787541</c:v>
                </c:pt>
                <c:pt idx="43">
                  <c:v>9.2934504082152998</c:v>
                </c:pt>
                <c:pt idx="44">
                  <c:v>8.734779996600567</c:v>
                </c:pt>
                <c:pt idx="45">
                  <c:v>8.1707173509915023</c:v>
                </c:pt>
                <c:pt idx="46">
                  <c:v>7.6023064242209637</c:v>
                </c:pt>
                <c:pt idx="47">
                  <c:v>7.030392621529745</c:v>
                </c:pt>
                <c:pt idx="48">
                  <c:v>6.4566828563739378</c:v>
                </c:pt>
                <c:pt idx="49">
                  <c:v>5.8838246975920692</c:v>
                </c:pt>
                <c:pt idx="50">
                  <c:v>5.31461509532578</c:v>
                </c:pt>
                <c:pt idx="51">
                  <c:v>4.7521117283286118</c:v>
                </c:pt>
                <c:pt idx="52">
                  <c:v>4.2005080094900853</c:v>
                </c:pt>
                <c:pt idx="53">
                  <c:v>3.6634126515580738</c:v>
                </c:pt>
                <c:pt idx="54">
                  <c:v>3.1463950315864024</c:v>
                </c:pt>
                <c:pt idx="55">
                  <c:v>2.6547749303116146</c:v>
                </c:pt>
                <c:pt idx="56">
                  <c:v>2.194885654390935</c:v>
                </c:pt>
                <c:pt idx="57">
                  <c:v>1.7721245964589236</c:v>
                </c:pt>
                <c:pt idx="58">
                  <c:v>1.3926015439093486</c:v>
                </c:pt>
                <c:pt idx="59">
                  <c:v>1.0605415039660058</c:v>
                </c:pt>
                <c:pt idx="60">
                  <c:v>0.77930308073654397</c:v>
                </c:pt>
                <c:pt idx="61">
                  <c:v>0.54992098215297458</c:v>
                </c:pt>
                <c:pt idx="62">
                  <c:v>0.3698296577903683</c:v>
                </c:pt>
                <c:pt idx="63">
                  <c:v>0.23610379405099152</c:v>
                </c:pt>
                <c:pt idx="64">
                  <c:v>0.14180218073654391</c:v>
                </c:pt>
                <c:pt idx="65">
                  <c:v>7.9340424929178463E-2</c:v>
                </c:pt>
                <c:pt idx="66">
                  <c:v>4.1214690651558077E-2</c:v>
                </c:pt>
                <c:pt idx="67">
                  <c:v>1.984302294617564E-2</c:v>
                </c:pt>
                <c:pt idx="68">
                  <c:v>8.696909065155807E-3</c:v>
                </c:pt>
                <c:pt idx="69">
                  <c:v>3.4603936260623235E-3</c:v>
                </c:pt>
                <c:pt idx="70">
                  <c:v>1.3101341359773372E-3</c:v>
                </c:pt>
                <c:pt idx="71">
                  <c:v>4.1285991501416433E-4</c:v>
                </c:pt>
                <c:pt idx="72">
                  <c:v>7.8006798866855532E-5</c:v>
                </c:pt>
                <c:pt idx="73">
                  <c:v>5.3012322946175641E-5</c:v>
                </c:pt>
                <c:pt idx="74">
                  <c:v>-7.8238951841359778E-5</c:v>
                </c:pt>
                <c:pt idx="75">
                  <c:v>-1.0921643059490085E-4</c:v>
                </c:pt>
                <c:pt idx="76">
                  <c:v>-1.38971388101983E-4</c:v>
                </c:pt>
                <c:pt idx="77">
                  <c:v>-1.1490240793201135E-4</c:v>
                </c:pt>
                <c:pt idx="78">
                  <c:v>-3.5239518413597741E-5</c:v>
                </c:pt>
                <c:pt idx="79">
                  <c:v>-1.3700849858356943E-5</c:v>
                </c:pt>
                <c:pt idx="80">
                  <c:v>1.016685552407932E-5</c:v>
                </c:pt>
              </c:numCache>
            </c:numRef>
          </c:yVal>
          <c:smooth val="1"/>
        </c:ser>
        <c:axId val="145832576"/>
        <c:axId val="145839232"/>
      </c:scatterChart>
      <c:valAx>
        <c:axId val="145832576"/>
        <c:scaling>
          <c:orientation val="minMax"/>
          <c:max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days</a:t>
                </a:r>
              </a:p>
            </c:rich>
          </c:tx>
        </c:title>
        <c:numFmt formatCode="General" sourceLinked="0"/>
        <c:minorTickMark val="in"/>
        <c:tickLblPos val="nextTo"/>
        <c:crossAx val="145839232"/>
        <c:crossesAt val="1"/>
        <c:crossBetween val="midCat"/>
      </c:valAx>
      <c:valAx>
        <c:axId val="145839232"/>
        <c:scaling>
          <c:logBase val="10"/>
          <c:orientation val="minMax"/>
          <c:max val="100"/>
          <c:min val="1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Oil Rate (bopd)</a:t>
                </a:r>
              </a:p>
            </c:rich>
          </c:tx>
          <c:layout>
            <c:manualLayout>
              <c:xMode val="edge"/>
              <c:yMode val="edge"/>
              <c:x val="1.1222541225165918E-2"/>
              <c:y val="0.2758674967085713"/>
            </c:manualLayout>
          </c:layout>
        </c:title>
        <c:numFmt formatCode="0" sourceLinked="0"/>
        <c:minorTickMark val="in"/>
        <c:tickLblPos val="nextTo"/>
        <c:crossAx val="145832576"/>
        <c:crossesAt val="0"/>
        <c:crossBetween val="midCat"/>
      </c:valAx>
      <c:spPr>
        <a:ln>
          <a:solidFill>
            <a:schemeClr val="bg1">
              <a:lumMod val="50000"/>
            </a:schemeClr>
          </a:solidFill>
        </a:ln>
      </c:spPr>
    </c:plotArea>
    <c:plotVisOnly val="1"/>
  </c:chart>
  <c:printSettings>
    <c:headerFooter/>
    <c:pageMargins b="0.75000000000000533" l="0.70000000000000062" r="0.70000000000000062" t="0.75000000000000533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SensChanelWidth!$W$16</c:f>
          <c:strCache>
            <c:ptCount val="1"/>
            <c:pt idx="0">
              <c:v>Model Geometry &amp; Well Location_x000d_Area: 40Acres</c:v>
            </c:pt>
          </c:strCache>
        </c:strRef>
      </c:tx>
      <c:txPr>
        <a:bodyPr/>
        <a:lstStyle/>
        <a:p>
          <a:pPr>
            <a:defRPr sz="1000">
              <a:solidFill>
                <a:srgbClr val="FF0000"/>
              </a:solidFill>
            </a:defRPr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v>Res Geometry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SensChanelWidth!$W$9:$W$13</c:f>
              <c:numCache>
                <c:formatCode>General</c:formatCode>
                <c:ptCount val="5"/>
                <c:pt idx="0">
                  <c:v>0</c:v>
                </c:pt>
                <c:pt idx="1">
                  <c:v>2640</c:v>
                </c:pt>
                <c:pt idx="2">
                  <c:v>2640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SensChanelWidth!$X$9:$X$13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660</c:v>
                </c:pt>
                <c:pt idx="3">
                  <c:v>660</c:v>
                </c:pt>
                <c:pt idx="4">
                  <c:v>0</c:v>
                </c:pt>
              </c:numCache>
            </c:numRef>
          </c:yVal>
        </c:ser>
        <c:ser>
          <c:idx val="1"/>
          <c:order val="1"/>
          <c:tx>
            <c:v>Well Location</c:v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rgbClr val="00FF00"/>
              </a:solidFill>
              <a:ln>
                <a:noFill/>
              </a:ln>
            </c:spPr>
          </c:marker>
          <c:xVal>
            <c:numRef>
              <c:f>SensChanelWidth!$Y$9</c:f>
              <c:numCache>
                <c:formatCode>General</c:formatCode>
                <c:ptCount val="1"/>
                <c:pt idx="0">
                  <c:v>1320</c:v>
                </c:pt>
              </c:numCache>
            </c:numRef>
          </c:xVal>
          <c:yVal>
            <c:numRef>
              <c:f>SensChanelWidth!$Z$9</c:f>
              <c:numCache>
                <c:formatCode>General</c:formatCode>
                <c:ptCount val="1"/>
                <c:pt idx="0">
                  <c:v>330</c:v>
                </c:pt>
              </c:numCache>
            </c:numRef>
          </c:yVal>
        </c:ser>
        <c:ser>
          <c:idx val="2"/>
          <c:order val="2"/>
          <c:tx>
            <c:v>Fracture Geometry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SensChanelWidth!$AA$9:$AA$10</c:f>
              <c:numCache>
                <c:formatCode>General</c:formatCode>
                <c:ptCount val="2"/>
                <c:pt idx="0">
                  <c:v>1310</c:v>
                </c:pt>
                <c:pt idx="1">
                  <c:v>1330</c:v>
                </c:pt>
              </c:numCache>
            </c:numRef>
          </c:xVal>
          <c:yVal>
            <c:numRef>
              <c:f>SensChanelWidth!$AB$9:$AB$10</c:f>
              <c:numCache>
                <c:formatCode>General</c:formatCode>
                <c:ptCount val="2"/>
                <c:pt idx="0">
                  <c:v>330</c:v>
                </c:pt>
                <c:pt idx="1">
                  <c:v>330</c:v>
                </c:pt>
              </c:numCache>
            </c:numRef>
          </c:yVal>
        </c:ser>
        <c:axId val="154875008"/>
        <c:axId val="154876544"/>
      </c:scatterChart>
      <c:valAx>
        <c:axId val="154875008"/>
        <c:scaling>
          <c:orientation val="minMax"/>
          <c:max val="3000"/>
        </c:scaling>
        <c:axPos val="b"/>
        <c:numFmt formatCode="General" sourceLinked="1"/>
        <c:tickLblPos val="nextTo"/>
        <c:crossAx val="154876544"/>
        <c:crosses val="autoZero"/>
        <c:crossBetween val="midCat"/>
        <c:majorUnit val="500"/>
      </c:valAx>
      <c:valAx>
        <c:axId val="154876544"/>
        <c:scaling>
          <c:orientation val="minMax"/>
          <c:max val="3000"/>
          <c:min val="0"/>
        </c:scaling>
        <c:axPos val="l"/>
        <c:numFmt formatCode="General" sourceLinked="1"/>
        <c:tickLblPos val="nextTo"/>
        <c:crossAx val="154875008"/>
        <c:crosses val="autoZero"/>
        <c:crossBetween val="midCat"/>
      </c:valAx>
    </c:plotArea>
    <c:plotVisOnly val="1"/>
  </c:chart>
  <c:spPr>
    <a:ln>
      <a:noFill/>
    </a:ln>
  </c:spPr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0153837181251112"/>
          <c:y val="5.0213475467503974E-2"/>
          <c:w val="0.84626974217316164"/>
          <c:h val="0.77223989165439921"/>
        </c:manualLayout>
      </c:layout>
      <c:scatterChart>
        <c:scatterStyle val="smoothMarker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SensFracLenght!$D$26:$D$106</c:f>
              <c:numCache>
                <c:formatCode>0.0</c:formatCode>
                <c:ptCount val="81"/>
                <c:pt idx="0">
                  <c:v>31</c:v>
                </c:pt>
                <c:pt idx="1">
                  <c:v>59</c:v>
                </c:pt>
                <c:pt idx="2">
                  <c:v>90</c:v>
                </c:pt>
                <c:pt idx="3">
                  <c:v>120</c:v>
                </c:pt>
                <c:pt idx="4">
                  <c:v>151</c:v>
                </c:pt>
                <c:pt idx="5">
                  <c:v>181</c:v>
                </c:pt>
                <c:pt idx="6">
                  <c:v>212</c:v>
                </c:pt>
                <c:pt idx="7">
                  <c:v>243</c:v>
                </c:pt>
                <c:pt idx="8">
                  <c:v>273</c:v>
                </c:pt>
                <c:pt idx="9">
                  <c:v>304</c:v>
                </c:pt>
                <c:pt idx="10">
                  <c:v>334</c:v>
                </c:pt>
                <c:pt idx="11">
                  <c:v>365</c:v>
                </c:pt>
                <c:pt idx="12">
                  <c:v>396</c:v>
                </c:pt>
                <c:pt idx="13">
                  <c:v>424</c:v>
                </c:pt>
                <c:pt idx="14">
                  <c:v>455</c:v>
                </c:pt>
                <c:pt idx="15">
                  <c:v>485</c:v>
                </c:pt>
                <c:pt idx="16">
                  <c:v>516</c:v>
                </c:pt>
                <c:pt idx="17">
                  <c:v>546</c:v>
                </c:pt>
                <c:pt idx="18">
                  <c:v>577</c:v>
                </c:pt>
                <c:pt idx="19">
                  <c:v>608</c:v>
                </c:pt>
                <c:pt idx="20">
                  <c:v>638</c:v>
                </c:pt>
                <c:pt idx="21">
                  <c:v>669</c:v>
                </c:pt>
                <c:pt idx="22">
                  <c:v>699</c:v>
                </c:pt>
                <c:pt idx="23">
                  <c:v>730</c:v>
                </c:pt>
                <c:pt idx="24">
                  <c:v>761</c:v>
                </c:pt>
                <c:pt idx="25">
                  <c:v>789</c:v>
                </c:pt>
                <c:pt idx="26">
                  <c:v>820</c:v>
                </c:pt>
                <c:pt idx="27">
                  <c:v>850</c:v>
                </c:pt>
                <c:pt idx="28">
                  <c:v>881</c:v>
                </c:pt>
                <c:pt idx="29">
                  <c:v>911</c:v>
                </c:pt>
                <c:pt idx="30">
                  <c:v>942</c:v>
                </c:pt>
                <c:pt idx="31">
                  <c:v>973</c:v>
                </c:pt>
                <c:pt idx="32">
                  <c:v>1003</c:v>
                </c:pt>
                <c:pt idx="33">
                  <c:v>1034</c:v>
                </c:pt>
                <c:pt idx="34">
                  <c:v>1064</c:v>
                </c:pt>
                <c:pt idx="35">
                  <c:v>1095</c:v>
                </c:pt>
                <c:pt idx="36">
                  <c:v>1126</c:v>
                </c:pt>
                <c:pt idx="37">
                  <c:v>1155</c:v>
                </c:pt>
                <c:pt idx="38">
                  <c:v>1186</c:v>
                </c:pt>
                <c:pt idx="39">
                  <c:v>1216</c:v>
                </c:pt>
                <c:pt idx="40">
                  <c:v>1247</c:v>
                </c:pt>
                <c:pt idx="41">
                  <c:v>1277</c:v>
                </c:pt>
                <c:pt idx="42">
                  <c:v>1308</c:v>
                </c:pt>
                <c:pt idx="43">
                  <c:v>1339</c:v>
                </c:pt>
                <c:pt idx="44">
                  <c:v>1369</c:v>
                </c:pt>
                <c:pt idx="45">
                  <c:v>1400</c:v>
                </c:pt>
                <c:pt idx="46">
                  <c:v>1430</c:v>
                </c:pt>
                <c:pt idx="47">
                  <c:v>1461</c:v>
                </c:pt>
                <c:pt idx="48">
                  <c:v>1492</c:v>
                </c:pt>
                <c:pt idx="49">
                  <c:v>1520</c:v>
                </c:pt>
                <c:pt idx="50">
                  <c:v>1551</c:v>
                </c:pt>
                <c:pt idx="51">
                  <c:v>1581</c:v>
                </c:pt>
                <c:pt idx="52">
                  <c:v>1612</c:v>
                </c:pt>
                <c:pt idx="53">
                  <c:v>1642</c:v>
                </c:pt>
                <c:pt idx="54">
                  <c:v>1673</c:v>
                </c:pt>
                <c:pt idx="55">
                  <c:v>1704</c:v>
                </c:pt>
                <c:pt idx="56">
                  <c:v>1734</c:v>
                </c:pt>
                <c:pt idx="57">
                  <c:v>1765</c:v>
                </c:pt>
                <c:pt idx="58">
                  <c:v>1795</c:v>
                </c:pt>
                <c:pt idx="59">
                  <c:v>1826</c:v>
                </c:pt>
                <c:pt idx="60">
                  <c:v>1857</c:v>
                </c:pt>
                <c:pt idx="61">
                  <c:v>1885</c:v>
                </c:pt>
                <c:pt idx="62">
                  <c:v>1916</c:v>
                </c:pt>
                <c:pt idx="63">
                  <c:v>1946</c:v>
                </c:pt>
                <c:pt idx="64">
                  <c:v>1977</c:v>
                </c:pt>
                <c:pt idx="65">
                  <c:v>2007</c:v>
                </c:pt>
                <c:pt idx="66">
                  <c:v>2038</c:v>
                </c:pt>
                <c:pt idx="67">
                  <c:v>2069</c:v>
                </c:pt>
                <c:pt idx="68">
                  <c:v>2099</c:v>
                </c:pt>
                <c:pt idx="69">
                  <c:v>2130</c:v>
                </c:pt>
                <c:pt idx="70">
                  <c:v>2160</c:v>
                </c:pt>
                <c:pt idx="71">
                  <c:v>2191</c:v>
                </c:pt>
                <c:pt idx="72">
                  <c:v>2222</c:v>
                </c:pt>
                <c:pt idx="73">
                  <c:v>2250</c:v>
                </c:pt>
                <c:pt idx="74">
                  <c:v>2281</c:v>
                </c:pt>
                <c:pt idx="75">
                  <c:v>2311</c:v>
                </c:pt>
                <c:pt idx="76">
                  <c:v>2342</c:v>
                </c:pt>
                <c:pt idx="77">
                  <c:v>2372</c:v>
                </c:pt>
                <c:pt idx="78">
                  <c:v>2403</c:v>
                </c:pt>
                <c:pt idx="79">
                  <c:v>2434</c:v>
                </c:pt>
                <c:pt idx="80">
                  <c:v>2464</c:v>
                </c:pt>
              </c:numCache>
            </c:numRef>
          </c:xVal>
          <c:yVal>
            <c:numRef>
              <c:f>SensFracLenght!$E$26:$E$106</c:f>
              <c:numCache>
                <c:formatCode>0.0</c:formatCode>
                <c:ptCount val="81"/>
                <c:pt idx="0">
                  <c:v>48.120029482568555</c:v>
                </c:pt>
                <c:pt idx="1">
                  <c:v>44.802829356357485</c:v>
                </c:pt>
                <c:pt idx="2">
                  <c:v>42.646797917040004</c:v>
                </c:pt>
                <c:pt idx="3">
                  <c:v>40.98376263952791</c:v>
                </c:pt>
                <c:pt idx="4">
                  <c:v>39.428254389588041</c:v>
                </c:pt>
                <c:pt idx="5">
                  <c:v>38.007355444027084</c:v>
                </c:pt>
                <c:pt idx="6">
                  <c:v>36.60168954860594</c:v>
                </c:pt>
                <c:pt idx="7">
                  <c:v>35.250963001299688</c:v>
                </c:pt>
                <c:pt idx="8">
                  <c:v>33.991993613315152</c:v>
                </c:pt>
                <c:pt idx="9">
                  <c:v>32.738626229071784</c:v>
                </c:pt>
                <c:pt idx="10">
                  <c:v>31.569701044028562</c:v>
                </c:pt>
                <c:pt idx="11">
                  <c:v>30.405703925186586</c:v>
                </c:pt>
                <c:pt idx="12">
                  <c:v>29.284712357539366</c:v>
                </c:pt>
                <c:pt idx="13">
                  <c:v>28.307770229352396</c:v>
                </c:pt>
                <c:pt idx="14">
                  <c:v>27.264019424110902</c:v>
                </c:pt>
                <c:pt idx="15">
                  <c:v>26.290648876928433</c:v>
                </c:pt>
                <c:pt idx="16">
                  <c:v>25.321342697436993</c:v>
                </c:pt>
                <c:pt idx="17">
                  <c:v>24.417398241553109</c:v>
                </c:pt>
                <c:pt idx="18">
                  <c:v>23.517116776677987</c:v>
                </c:pt>
                <c:pt idx="19">
                  <c:v>22.650092524198531</c:v>
                </c:pt>
                <c:pt idx="20">
                  <c:v>21.841502933366929</c:v>
                </c:pt>
                <c:pt idx="21">
                  <c:v>21.03622697529827</c:v>
                </c:pt>
                <c:pt idx="22">
                  <c:v>20.285205863414319</c:v>
                </c:pt>
                <c:pt idx="23">
                  <c:v>19.53730692228234</c:v>
                </c:pt>
                <c:pt idx="24">
                  <c:v>18.817027856337088</c:v>
                </c:pt>
                <c:pt idx="25">
                  <c:v>18.189183636989728</c:v>
                </c:pt>
                <c:pt idx="26">
                  <c:v>17.518612326125059</c:v>
                </c:pt>
                <c:pt idx="27">
                  <c:v>16.893200515929923</c:v>
                </c:pt>
                <c:pt idx="28">
                  <c:v>16.270383609629899</c:v>
                </c:pt>
                <c:pt idx="29">
                  <c:v>15.689520567467179</c:v>
                </c:pt>
                <c:pt idx="30">
                  <c:v>15.111023911491726</c:v>
                </c:pt>
                <c:pt idx="31">
                  <c:v>14.553928384419899</c:v>
                </c:pt>
                <c:pt idx="32">
                  <c:v>14.034367057026103</c:v>
                </c:pt>
                <c:pt idx="33">
                  <c:v>13.516897580117297</c:v>
                </c:pt>
                <c:pt idx="34">
                  <c:v>13.034337881029677</c:v>
                </c:pt>
                <c:pt idx="35">
                  <c:v>12.553726774316683</c:v>
                </c:pt>
                <c:pt idx="36">
                  <c:v>12.090922146231691</c:v>
                </c:pt>
                <c:pt idx="37">
                  <c:v>11.673376544814838</c:v>
                </c:pt>
                <c:pt idx="38">
                  <c:v>11.243015580149297</c:v>
                </c:pt>
                <c:pt idx="39">
                  <c:v>10.841669851918301</c:v>
                </c:pt>
                <c:pt idx="40">
                  <c:v>10.441951048017982</c:v>
                </c:pt>
                <c:pt idx="41">
                  <c:v>10.069140290667171</c:v>
                </c:pt>
                <c:pt idx="42">
                  <c:v>9.697878680653627</c:v>
                </c:pt>
                <c:pt idx="43">
                  <c:v>9.340366760454792</c:v>
                </c:pt>
                <c:pt idx="44">
                  <c:v>9.0068788461119187</c:v>
                </c:pt>
                <c:pt idx="45">
                  <c:v>8.6748432635819803</c:v>
                </c:pt>
                <c:pt idx="46">
                  <c:v>8.365142436068977</c:v>
                </c:pt>
                <c:pt idx="47">
                  <c:v>8.0567534392239466</c:v>
                </c:pt>
                <c:pt idx="48">
                  <c:v>7.7596945601487191</c:v>
                </c:pt>
                <c:pt idx="49">
                  <c:v>7.500814112102324</c:v>
                </c:pt>
                <c:pt idx="50">
                  <c:v>7.2243067924053594</c:v>
                </c:pt>
                <c:pt idx="51">
                  <c:v>6.9663744216036614</c:v>
                </c:pt>
                <c:pt idx="52">
                  <c:v>6.7095278631748441</c:v>
                </c:pt>
                <c:pt idx="53">
                  <c:v>6.4700287315596769</c:v>
                </c:pt>
                <c:pt idx="54">
                  <c:v>6.2314663389066904</c:v>
                </c:pt>
                <c:pt idx="55">
                  <c:v>6.0017322312649979</c:v>
                </c:pt>
                <c:pt idx="56">
                  <c:v>5.7874875192948236</c:v>
                </c:pt>
                <c:pt idx="57">
                  <c:v>5.5740997164835537</c:v>
                </c:pt>
                <c:pt idx="58">
                  <c:v>5.3751183652270509</c:v>
                </c:pt>
                <c:pt idx="59">
                  <c:v>5.1769686420323318</c:v>
                </c:pt>
                <c:pt idx="60">
                  <c:v>4.9861502127757964</c:v>
                </c:pt>
                <c:pt idx="61">
                  <c:v>4.8197731071680252</c:v>
                </c:pt>
                <c:pt idx="62">
                  <c:v>4.6420434765037095</c:v>
                </c:pt>
                <c:pt idx="63">
                  <c:v>4.4763559804737945</c:v>
                </c:pt>
                <c:pt idx="64">
                  <c:v>4.3112993458907338</c:v>
                </c:pt>
                <c:pt idx="65">
                  <c:v>4.1574379299084887</c:v>
                </c:pt>
                <c:pt idx="66">
                  <c:v>4.0041612392994086</c:v>
                </c:pt>
                <c:pt idx="67">
                  <c:v>3.8565437320009934</c:v>
                </c:pt>
                <c:pt idx="68">
                  <c:v>3.7188793363769483</c:v>
                </c:pt>
                <c:pt idx="69">
                  <c:v>3.5818159145717936</c:v>
                </c:pt>
                <c:pt idx="70">
                  <c:v>3.4538838078141394</c:v>
                </c:pt>
                <c:pt idx="71">
                  <c:v>3.3265645916228053</c:v>
                </c:pt>
                <c:pt idx="72">
                  <c:v>3.2038854621755362</c:v>
                </c:pt>
                <c:pt idx="73">
                  <c:v>3.0969499515906365</c:v>
                </c:pt>
                <c:pt idx="74">
                  <c:v>2.982776766017833</c:v>
                </c:pt>
                <c:pt idx="75">
                  <c:v>2.8763093257044878</c:v>
                </c:pt>
                <c:pt idx="76">
                  <c:v>2.7702101784885409</c:v>
                </c:pt>
                <c:pt idx="77">
                  <c:v>2.6713626721149546</c:v>
                </c:pt>
                <c:pt idx="78">
                  <c:v>2.5728984750637185</c:v>
                </c:pt>
                <c:pt idx="79">
                  <c:v>2.4780419803654872</c:v>
                </c:pt>
                <c:pt idx="80">
                  <c:v>2.3895823061603481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SensFracLenght!$D$26:$D$106</c:f>
              <c:numCache>
                <c:formatCode>0.0</c:formatCode>
                <c:ptCount val="81"/>
                <c:pt idx="0">
                  <c:v>31</c:v>
                </c:pt>
                <c:pt idx="1">
                  <c:v>59</c:v>
                </c:pt>
                <c:pt idx="2">
                  <c:v>90</c:v>
                </c:pt>
                <c:pt idx="3">
                  <c:v>120</c:v>
                </c:pt>
                <c:pt idx="4">
                  <c:v>151</c:v>
                </c:pt>
                <c:pt idx="5">
                  <c:v>181</c:v>
                </c:pt>
                <c:pt idx="6">
                  <c:v>212</c:v>
                </c:pt>
                <c:pt idx="7">
                  <c:v>243</c:v>
                </c:pt>
                <c:pt idx="8">
                  <c:v>273</c:v>
                </c:pt>
                <c:pt idx="9">
                  <c:v>304</c:v>
                </c:pt>
                <c:pt idx="10">
                  <c:v>334</c:v>
                </c:pt>
                <c:pt idx="11">
                  <c:v>365</c:v>
                </c:pt>
                <c:pt idx="12">
                  <c:v>396</c:v>
                </c:pt>
                <c:pt idx="13">
                  <c:v>424</c:v>
                </c:pt>
                <c:pt idx="14">
                  <c:v>455</c:v>
                </c:pt>
                <c:pt idx="15">
                  <c:v>485</c:v>
                </c:pt>
                <c:pt idx="16">
                  <c:v>516</c:v>
                </c:pt>
                <c:pt idx="17">
                  <c:v>546</c:v>
                </c:pt>
                <c:pt idx="18">
                  <c:v>577</c:v>
                </c:pt>
                <c:pt idx="19">
                  <c:v>608</c:v>
                </c:pt>
                <c:pt idx="20">
                  <c:v>638</c:v>
                </c:pt>
                <c:pt idx="21">
                  <c:v>669</c:v>
                </c:pt>
                <c:pt idx="22">
                  <c:v>699</c:v>
                </c:pt>
                <c:pt idx="23">
                  <c:v>730</c:v>
                </c:pt>
                <c:pt idx="24">
                  <c:v>761</c:v>
                </c:pt>
                <c:pt idx="25">
                  <c:v>789</c:v>
                </c:pt>
                <c:pt idx="26">
                  <c:v>820</c:v>
                </c:pt>
                <c:pt idx="27">
                  <c:v>850</c:v>
                </c:pt>
                <c:pt idx="28">
                  <c:v>881</c:v>
                </c:pt>
                <c:pt idx="29">
                  <c:v>911</c:v>
                </c:pt>
                <c:pt idx="30">
                  <c:v>942</c:v>
                </c:pt>
                <c:pt idx="31">
                  <c:v>973</c:v>
                </c:pt>
                <c:pt idx="32">
                  <c:v>1003</c:v>
                </c:pt>
                <c:pt idx="33">
                  <c:v>1034</c:v>
                </c:pt>
                <c:pt idx="34">
                  <c:v>1064</c:v>
                </c:pt>
                <c:pt idx="35">
                  <c:v>1095</c:v>
                </c:pt>
                <c:pt idx="36">
                  <c:v>1126</c:v>
                </c:pt>
                <c:pt idx="37">
                  <c:v>1155</c:v>
                </c:pt>
                <c:pt idx="38">
                  <c:v>1186</c:v>
                </c:pt>
                <c:pt idx="39">
                  <c:v>1216</c:v>
                </c:pt>
                <c:pt idx="40">
                  <c:v>1247</c:v>
                </c:pt>
                <c:pt idx="41">
                  <c:v>1277</c:v>
                </c:pt>
                <c:pt idx="42">
                  <c:v>1308</c:v>
                </c:pt>
                <c:pt idx="43">
                  <c:v>1339</c:v>
                </c:pt>
                <c:pt idx="44">
                  <c:v>1369</c:v>
                </c:pt>
                <c:pt idx="45">
                  <c:v>1400</c:v>
                </c:pt>
                <c:pt idx="46">
                  <c:v>1430</c:v>
                </c:pt>
                <c:pt idx="47">
                  <c:v>1461</c:v>
                </c:pt>
                <c:pt idx="48">
                  <c:v>1492</c:v>
                </c:pt>
                <c:pt idx="49">
                  <c:v>1520</c:v>
                </c:pt>
                <c:pt idx="50">
                  <c:v>1551</c:v>
                </c:pt>
                <c:pt idx="51">
                  <c:v>1581</c:v>
                </c:pt>
                <c:pt idx="52">
                  <c:v>1612</c:v>
                </c:pt>
                <c:pt idx="53">
                  <c:v>1642</c:v>
                </c:pt>
                <c:pt idx="54">
                  <c:v>1673</c:v>
                </c:pt>
                <c:pt idx="55">
                  <c:v>1704</c:v>
                </c:pt>
                <c:pt idx="56">
                  <c:v>1734</c:v>
                </c:pt>
                <c:pt idx="57">
                  <c:v>1765</c:v>
                </c:pt>
                <c:pt idx="58">
                  <c:v>1795</c:v>
                </c:pt>
                <c:pt idx="59">
                  <c:v>1826</c:v>
                </c:pt>
                <c:pt idx="60">
                  <c:v>1857</c:v>
                </c:pt>
                <c:pt idx="61">
                  <c:v>1885</c:v>
                </c:pt>
                <c:pt idx="62">
                  <c:v>1916</c:v>
                </c:pt>
                <c:pt idx="63">
                  <c:v>1946</c:v>
                </c:pt>
                <c:pt idx="64">
                  <c:v>1977</c:v>
                </c:pt>
                <c:pt idx="65">
                  <c:v>2007</c:v>
                </c:pt>
                <c:pt idx="66">
                  <c:v>2038</c:v>
                </c:pt>
                <c:pt idx="67">
                  <c:v>2069</c:v>
                </c:pt>
                <c:pt idx="68">
                  <c:v>2099</c:v>
                </c:pt>
                <c:pt idx="69">
                  <c:v>2130</c:v>
                </c:pt>
                <c:pt idx="70">
                  <c:v>2160</c:v>
                </c:pt>
                <c:pt idx="71">
                  <c:v>2191</c:v>
                </c:pt>
                <c:pt idx="72">
                  <c:v>2222</c:v>
                </c:pt>
                <c:pt idx="73">
                  <c:v>2250</c:v>
                </c:pt>
                <c:pt idx="74">
                  <c:v>2281</c:v>
                </c:pt>
                <c:pt idx="75">
                  <c:v>2311</c:v>
                </c:pt>
                <c:pt idx="76">
                  <c:v>2342</c:v>
                </c:pt>
                <c:pt idx="77">
                  <c:v>2372</c:v>
                </c:pt>
                <c:pt idx="78">
                  <c:v>2403</c:v>
                </c:pt>
                <c:pt idx="79">
                  <c:v>2434</c:v>
                </c:pt>
                <c:pt idx="80">
                  <c:v>2464</c:v>
                </c:pt>
              </c:numCache>
            </c:numRef>
          </c:xVal>
          <c:yVal>
            <c:numRef>
              <c:f>SensFracLenght!$F$26:$F$106</c:f>
              <c:numCache>
                <c:formatCode>0.0</c:formatCode>
                <c:ptCount val="81"/>
                <c:pt idx="0">
                  <c:v>74.891066155097747</c:v>
                </c:pt>
                <c:pt idx="1">
                  <c:v>67.40012516811322</c:v>
                </c:pt>
                <c:pt idx="2">
                  <c:v>62.577290086543634</c:v>
                </c:pt>
                <c:pt idx="3">
                  <c:v>58.842696097338113</c:v>
                </c:pt>
                <c:pt idx="4">
                  <c:v>55.377410603795738</c:v>
                </c:pt>
                <c:pt idx="5">
                  <c:v>52.261663801537267</c:v>
                </c:pt>
                <c:pt idx="6">
                  <c:v>49.238783208723433</c:v>
                </c:pt>
                <c:pt idx="7">
                  <c:v>46.394564677494792</c:v>
                </c:pt>
                <c:pt idx="8">
                  <c:v>43.79945086256685</c:v>
                </c:pt>
                <c:pt idx="9">
                  <c:v>41.270485281102403</c:v>
                </c:pt>
                <c:pt idx="10">
                  <c:v>38.962368117237418</c:v>
                </c:pt>
                <c:pt idx="11">
                  <c:v>36.712793577925488</c:v>
                </c:pt>
                <c:pt idx="12">
                  <c:v>34.593217643993817</c:v>
                </c:pt>
                <c:pt idx="13">
                  <c:v>32.784080923141417</c:v>
                </c:pt>
                <c:pt idx="14">
                  <c:v>30.891339716140699</c:v>
                </c:pt>
                <c:pt idx="15">
                  <c:v>29.163715626425926</c:v>
                </c:pt>
                <c:pt idx="16">
                  <c:v>27.479974096457592</c:v>
                </c:pt>
                <c:pt idx="17">
                  <c:v>25.943194995602671</c:v>
                </c:pt>
                <c:pt idx="18">
                  <c:v>24.44541736573272</c:v>
                </c:pt>
                <c:pt idx="19">
                  <c:v>23.034037710729219</c:v>
                </c:pt>
                <c:pt idx="20">
                  <c:v>21.745891440750444</c:v>
                </c:pt>
                <c:pt idx="21">
                  <c:v>20.490427667582239</c:v>
                </c:pt>
                <c:pt idx="22">
                  <c:v>19.34454670975094</c:v>
                </c:pt>
                <c:pt idx="23">
                  <c:v>18.227686758603376</c:v>
                </c:pt>
                <c:pt idx="24">
                  <c:v>17.17529989211673</c:v>
                </c:pt>
                <c:pt idx="25">
                  <c:v>16.27715193542863</c:v>
                </c:pt>
                <c:pt idx="26">
                  <c:v>15.337405407257204</c:v>
                </c:pt>
                <c:pt idx="27">
                  <c:v>14.479679890365531</c:v>
                </c:pt>
                <c:pt idx="28">
                  <c:v>13.643716417373007</c:v>
                </c:pt>
                <c:pt idx="29">
                  <c:v>12.880711907054303</c:v>
                </c:pt>
                <c:pt idx="30">
                  <c:v>12.137033426773915</c:v>
                </c:pt>
                <c:pt idx="31">
                  <c:v>11.436380201906415</c:v>
                </c:pt>
                <c:pt idx="32">
                  <c:v>10.796831585855458</c:v>
                </c:pt>
                <c:pt idx="33">
                  <c:v>10.173507716364346</c:v>
                </c:pt>
                <c:pt idx="34">
                  <c:v>9.6045793227735174</c:v>
                </c:pt>
                <c:pt idx="35">
                  <c:v>9.0500502387940926</c:v>
                </c:pt>
                <c:pt idx="36">
                  <c:v>8.5275522388341809</c:v>
                </c:pt>
                <c:pt idx="37">
                  <c:v>8.0661482129466968</c:v>
                </c:pt>
                <c:pt idx="38">
                  <c:v>7.6004624469840731</c:v>
                </c:pt>
                <c:pt idx="39">
                  <c:v>7.1754703505067923</c:v>
                </c:pt>
                <c:pt idx="40">
                  <c:v>6.7612019212836643</c:v>
                </c:pt>
                <c:pt idx="41">
                  <c:v>6.383082115640236</c:v>
                </c:pt>
                <c:pt idx="42">
                  <c:v>6.0146120357515098</c:v>
                </c:pt>
                <c:pt idx="43">
                  <c:v>5.6673452740413426</c:v>
                </c:pt>
                <c:pt idx="44">
                  <c:v>5.3504061081160632</c:v>
                </c:pt>
                <c:pt idx="45">
                  <c:v>5.0414792576011829</c:v>
                </c:pt>
                <c:pt idx="46">
                  <c:v>4.7596251861245369</c:v>
                </c:pt>
                <c:pt idx="47">
                  <c:v>4.4847954031464603</c:v>
                </c:pt>
                <c:pt idx="48">
                  <c:v>4.2258945810804542</c:v>
                </c:pt>
                <c:pt idx="49">
                  <c:v>4.0048776119307208</c:v>
                </c:pt>
                <c:pt idx="50">
                  <c:v>3.7736524418641046</c:v>
                </c:pt>
                <c:pt idx="51">
                  <c:v>3.5625639545789256</c:v>
                </c:pt>
                <c:pt idx="52">
                  <c:v>3.356851879388544</c:v>
                </c:pt>
                <c:pt idx="53">
                  <c:v>3.1691078142151543</c:v>
                </c:pt>
                <c:pt idx="54">
                  <c:v>2.9861233972004753</c:v>
                </c:pt>
                <c:pt idx="55">
                  <c:v>2.8136674070986105</c:v>
                </c:pt>
                <c:pt idx="56">
                  <c:v>2.6562935511546657</c:v>
                </c:pt>
                <c:pt idx="57">
                  <c:v>2.5028770172707482</c:v>
                </c:pt>
                <c:pt idx="58">
                  <c:v>2.3628897046700015</c:v>
                </c:pt>
                <c:pt idx="59">
                  <c:v>2.2264282095462784</c:v>
                </c:pt>
                <c:pt idx="60">
                  <c:v>2.097842343018137</c:v>
                </c:pt>
                <c:pt idx="61">
                  <c:v>1.9880948266665917</c:v>
                </c:pt>
                <c:pt idx="62">
                  <c:v>1.8731688062475564</c:v>
                </c:pt>
                <c:pt idx="63">
                  <c:v>1.7683939032438654</c:v>
                </c:pt>
                <c:pt idx="64">
                  <c:v>1.6662358895046996</c:v>
                </c:pt>
                <c:pt idx="65">
                  <c:v>1.573012032403839</c:v>
                </c:pt>
                <c:pt idx="66">
                  <c:v>1.4820803135030707</c:v>
                </c:pt>
                <c:pt idx="67">
                  <c:v>1.3965327221682642</c:v>
                </c:pt>
                <c:pt idx="68">
                  <c:v>1.3183776023729785</c:v>
                </c:pt>
                <c:pt idx="69">
                  <c:v>1.2422026348211248</c:v>
                </c:pt>
                <c:pt idx="70">
                  <c:v>1.1725861543047815</c:v>
                </c:pt>
                <c:pt idx="71">
                  <c:v>1.1048244630996622</c:v>
                </c:pt>
                <c:pt idx="72">
                  <c:v>1.0408992690507806</c:v>
                </c:pt>
                <c:pt idx="73">
                  <c:v>0.98636785965662466</c:v>
                </c:pt>
                <c:pt idx="74">
                  <c:v>0.92931213142914626</c:v>
                </c:pt>
                <c:pt idx="75">
                  <c:v>0.87725289447838239</c:v>
                </c:pt>
                <c:pt idx="76">
                  <c:v>0.82648692280453273</c:v>
                </c:pt>
                <c:pt idx="77">
                  <c:v>0.7803740459295555</c:v>
                </c:pt>
                <c:pt idx="78">
                  <c:v>0.73522079317475975</c:v>
                </c:pt>
                <c:pt idx="79">
                  <c:v>0.69269282215708183</c:v>
                </c:pt>
                <c:pt idx="80">
                  <c:v>0.65390116956973998</c:v>
                </c:pt>
              </c:numCache>
            </c:numRef>
          </c:yVal>
          <c:smooth val="1"/>
        </c:ser>
        <c:ser>
          <c:idx val="2"/>
          <c:order val="2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SensFracLenght!$D$26:$D$106</c:f>
              <c:numCache>
                <c:formatCode>0.0</c:formatCode>
                <c:ptCount val="81"/>
                <c:pt idx="0">
                  <c:v>31</c:v>
                </c:pt>
                <c:pt idx="1">
                  <c:v>59</c:v>
                </c:pt>
                <c:pt idx="2">
                  <c:v>90</c:v>
                </c:pt>
                <c:pt idx="3">
                  <c:v>120</c:v>
                </c:pt>
                <c:pt idx="4">
                  <c:v>151</c:v>
                </c:pt>
                <c:pt idx="5">
                  <c:v>181</c:v>
                </c:pt>
                <c:pt idx="6">
                  <c:v>212</c:v>
                </c:pt>
                <c:pt idx="7">
                  <c:v>243</c:v>
                </c:pt>
                <c:pt idx="8">
                  <c:v>273</c:v>
                </c:pt>
                <c:pt idx="9">
                  <c:v>304</c:v>
                </c:pt>
                <c:pt idx="10">
                  <c:v>334</c:v>
                </c:pt>
                <c:pt idx="11">
                  <c:v>365</c:v>
                </c:pt>
                <c:pt idx="12">
                  <c:v>396</c:v>
                </c:pt>
                <c:pt idx="13">
                  <c:v>424</c:v>
                </c:pt>
                <c:pt idx="14">
                  <c:v>455</c:v>
                </c:pt>
                <c:pt idx="15">
                  <c:v>485</c:v>
                </c:pt>
                <c:pt idx="16">
                  <c:v>516</c:v>
                </c:pt>
                <c:pt idx="17">
                  <c:v>546</c:v>
                </c:pt>
                <c:pt idx="18">
                  <c:v>577</c:v>
                </c:pt>
                <c:pt idx="19">
                  <c:v>608</c:v>
                </c:pt>
                <c:pt idx="20">
                  <c:v>638</c:v>
                </c:pt>
                <c:pt idx="21">
                  <c:v>669</c:v>
                </c:pt>
                <c:pt idx="22">
                  <c:v>699</c:v>
                </c:pt>
                <c:pt idx="23">
                  <c:v>730</c:v>
                </c:pt>
                <c:pt idx="24">
                  <c:v>761</c:v>
                </c:pt>
                <c:pt idx="25">
                  <c:v>789</c:v>
                </c:pt>
                <c:pt idx="26">
                  <c:v>820</c:v>
                </c:pt>
                <c:pt idx="27">
                  <c:v>850</c:v>
                </c:pt>
                <c:pt idx="28">
                  <c:v>881</c:v>
                </c:pt>
                <c:pt idx="29">
                  <c:v>911</c:v>
                </c:pt>
                <c:pt idx="30">
                  <c:v>942</c:v>
                </c:pt>
                <c:pt idx="31">
                  <c:v>973</c:v>
                </c:pt>
                <c:pt idx="32">
                  <c:v>1003</c:v>
                </c:pt>
                <c:pt idx="33">
                  <c:v>1034</c:v>
                </c:pt>
                <c:pt idx="34">
                  <c:v>1064</c:v>
                </c:pt>
                <c:pt idx="35">
                  <c:v>1095</c:v>
                </c:pt>
                <c:pt idx="36">
                  <c:v>1126</c:v>
                </c:pt>
                <c:pt idx="37">
                  <c:v>1155</c:v>
                </c:pt>
                <c:pt idx="38">
                  <c:v>1186</c:v>
                </c:pt>
                <c:pt idx="39">
                  <c:v>1216</c:v>
                </c:pt>
                <c:pt idx="40">
                  <c:v>1247</c:v>
                </c:pt>
                <c:pt idx="41">
                  <c:v>1277</c:v>
                </c:pt>
                <c:pt idx="42">
                  <c:v>1308</c:v>
                </c:pt>
                <c:pt idx="43">
                  <c:v>1339</c:v>
                </c:pt>
                <c:pt idx="44">
                  <c:v>1369</c:v>
                </c:pt>
                <c:pt idx="45">
                  <c:v>1400</c:v>
                </c:pt>
                <c:pt idx="46">
                  <c:v>1430</c:v>
                </c:pt>
                <c:pt idx="47">
                  <c:v>1461</c:v>
                </c:pt>
                <c:pt idx="48">
                  <c:v>1492</c:v>
                </c:pt>
                <c:pt idx="49">
                  <c:v>1520</c:v>
                </c:pt>
                <c:pt idx="50">
                  <c:v>1551</c:v>
                </c:pt>
                <c:pt idx="51">
                  <c:v>1581</c:v>
                </c:pt>
                <c:pt idx="52">
                  <c:v>1612</c:v>
                </c:pt>
                <c:pt idx="53">
                  <c:v>1642</c:v>
                </c:pt>
                <c:pt idx="54">
                  <c:v>1673</c:v>
                </c:pt>
                <c:pt idx="55">
                  <c:v>1704</c:v>
                </c:pt>
                <c:pt idx="56">
                  <c:v>1734</c:v>
                </c:pt>
                <c:pt idx="57">
                  <c:v>1765</c:v>
                </c:pt>
                <c:pt idx="58">
                  <c:v>1795</c:v>
                </c:pt>
                <c:pt idx="59">
                  <c:v>1826</c:v>
                </c:pt>
                <c:pt idx="60">
                  <c:v>1857</c:v>
                </c:pt>
                <c:pt idx="61">
                  <c:v>1885</c:v>
                </c:pt>
                <c:pt idx="62">
                  <c:v>1916</c:v>
                </c:pt>
                <c:pt idx="63">
                  <c:v>1946</c:v>
                </c:pt>
                <c:pt idx="64">
                  <c:v>1977</c:v>
                </c:pt>
                <c:pt idx="65">
                  <c:v>2007</c:v>
                </c:pt>
                <c:pt idx="66">
                  <c:v>2038</c:v>
                </c:pt>
                <c:pt idx="67">
                  <c:v>2069</c:v>
                </c:pt>
                <c:pt idx="68">
                  <c:v>2099</c:v>
                </c:pt>
                <c:pt idx="69">
                  <c:v>2130</c:v>
                </c:pt>
                <c:pt idx="70">
                  <c:v>2160</c:v>
                </c:pt>
                <c:pt idx="71">
                  <c:v>2191</c:v>
                </c:pt>
                <c:pt idx="72">
                  <c:v>2222</c:v>
                </c:pt>
                <c:pt idx="73">
                  <c:v>2250</c:v>
                </c:pt>
                <c:pt idx="74">
                  <c:v>2281</c:v>
                </c:pt>
                <c:pt idx="75">
                  <c:v>2311</c:v>
                </c:pt>
                <c:pt idx="76">
                  <c:v>2342</c:v>
                </c:pt>
                <c:pt idx="77">
                  <c:v>2372</c:v>
                </c:pt>
                <c:pt idx="78">
                  <c:v>2403</c:v>
                </c:pt>
                <c:pt idx="79">
                  <c:v>2434</c:v>
                </c:pt>
                <c:pt idx="80">
                  <c:v>2464</c:v>
                </c:pt>
              </c:numCache>
            </c:numRef>
          </c:xVal>
          <c:yVal>
            <c:numRef>
              <c:f>SensFracLenght!$G$26:$G$106</c:f>
              <c:numCache>
                <c:formatCode>0.0</c:formatCode>
                <c:ptCount val="81"/>
                <c:pt idx="0">
                  <c:v>106.68821562054993</c:v>
                </c:pt>
                <c:pt idx="1">
                  <c:v>92.622243008536572</c:v>
                </c:pt>
                <c:pt idx="2">
                  <c:v>83.470811868890152</c:v>
                </c:pt>
                <c:pt idx="3">
                  <c:v>76.341159449742392</c:v>
                </c:pt>
                <c:pt idx="4">
                  <c:v>69.818180114119727</c:v>
                </c:pt>
                <c:pt idx="5">
                  <c:v>64.087541290831396</c:v>
                </c:pt>
                <c:pt idx="6">
                  <c:v>58.673136895757672</c:v>
                </c:pt>
                <c:pt idx="7">
                  <c:v>53.719514559948287</c:v>
                </c:pt>
                <c:pt idx="8">
                  <c:v>49.325137329078885</c:v>
                </c:pt>
                <c:pt idx="9">
                  <c:v>45.161765943675789</c:v>
                </c:pt>
                <c:pt idx="10">
                  <c:v>41.467616890832865</c:v>
                </c:pt>
                <c:pt idx="11">
                  <c:v>37.967653563738331</c:v>
                </c:pt>
                <c:pt idx="12">
                  <c:v>34.762972865979229</c:v>
                </c:pt>
                <c:pt idx="13">
                  <c:v>32.101709503287545</c:v>
                </c:pt>
                <c:pt idx="14">
                  <c:v>29.392255343502001</c:v>
                </c:pt>
                <c:pt idx="15">
                  <c:v>26.988084250643865</c:v>
                </c:pt>
                <c:pt idx="16">
                  <c:v>24.710369388673762</c:v>
                </c:pt>
                <c:pt idx="17">
                  <c:v>22.689083535295428</c:v>
                </c:pt>
                <c:pt idx="18">
                  <c:v>20.77417855326982</c:v>
                </c:pt>
                <c:pt idx="19">
                  <c:v>19.020801504665641</c:v>
                </c:pt>
                <c:pt idx="20">
                  <c:v>17.465116613718138</c:v>
                </c:pt>
                <c:pt idx="21">
                  <c:v>15.99108823430041</c:v>
                </c:pt>
                <c:pt idx="22">
                  <c:v>14.683137787778399</c:v>
                </c:pt>
                <c:pt idx="23">
                  <c:v>13.44382997630257</c:v>
                </c:pt>
                <c:pt idx="24">
                  <c:v>12.309209541893011</c:v>
                </c:pt>
                <c:pt idx="25">
                  <c:v>11.366929124914552</c:v>
                </c:pt>
                <c:pt idx="26">
                  <c:v>10.40755683486487</c:v>
                </c:pt>
                <c:pt idx="27">
                  <c:v>9.5563344620447257</c:v>
                </c:pt>
                <c:pt idx="28">
                  <c:v>8.749809973455994</c:v>
                </c:pt>
                <c:pt idx="29">
                  <c:v>8.0341236693657851</c:v>
                </c:pt>
                <c:pt idx="30">
                  <c:v>7.3560352499905068</c:v>
                </c:pt>
                <c:pt idx="31">
                  <c:v>6.7351736966166023</c:v>
                </c:pt>
                <c:pt idx="32">
                  <c:v>6.1842604241959966</c:v>
                </c:pt>
                <c:pt idx="33">
                  <c:v>5.6622852664123808</c:v>
                </c:pt>
                <c:pt idx="34">
                  <c:v>5.1991328745629044</c:v>
                </c:pt>
                <c:pt idx="35">
                  <c:v>4.7603030091712837</c:v>
                </c:pt>
                <c:pt idx="36">
                  <c:v>4.358380228867123</c:v>
                </c:pt>
                <c:pt idx="37">
                  <c:v>4.0132344019607089</c:v>
                </c:pt>
                <c:pt idx="38">
                  <c:v>3.6744092615835751</c:v>
                </c:pt>
                <c:pt idx="39">
                  <c:v>3.3738205056970196</c:v>
                </c:pt>
                <c:pt idx="40">
                  <c:v>3.0889750094979624</c:v>
                </c:pt>
                <c:pt idx="41">
                  <c:v>2.8362181541655298</c:v>
                </c:pt>
                <c:pt idx="42">
                  <c:v>2.5966947848294941</c:v>
                </c:pt>
                <c:pt idx="43">
                  <c:v>2.3773295405620294</c:v>
                </c:pt>
                <c:pt idx="44">
                  <c:v>2.1827402660079867</c:v>
                </c:pt>
                <c:pt idx="45">
                  <c:v>1.9983824648863764</c:v>
                </c:pt>
                <c:pt idx="46">
                  <c:v>1.8348180023440732</c:v>
                </c:pt>
                <c:pt idx="47">
                  <c:v>1.6797582779924385</c:v>
                </c:pt>
                <c:pt idx="48">
                  <c:v>1.537890495077306</c:v>
                </c:pt>
                <c:pt idx="49">
                  <c:v>1.4200458680120884</c:v>
                </c:pt>
                <c:pt idx="50">
                  <c:v>1.30003936946509</c:v>
                </c:pt>
                <c:pt idx="51">
                  <c:v>1.1934371423020445</c:v>
                </c:pt>
                <c:pt idx="52">
                  <c:v>1.0925547802827096</c:v>
                </c:pt>
                <c:pt idx="53">
                  <c:v>1.003024671161642</c:v>
                </c:pt>
                <c:pt idx="54">
                  <c:v>0.91824859156056338</c:v>
                </c:pt>
                <c:pt idx="55">
                  <c:v>0.84053373067001258</c:v>
                </c:pt>
                <c:pt idx="56">
                  <c:v>0.77173997927749394</c:v>
                </c:pt>
                <c:pt idx="57">
                  <c:v>0.70648513241059052</c:v>
                </c:pt>
                <c:pt idx="58">
                  <c:v>0.64861374952879425</c:v>
                </c:pt>
                <c:pt idx="59">
                  <c:v>0.59374890901086175</c:v>
                </c:pt>
                <c:pt idx="60">
                  <c:v>0.54358616083309197</c:v>
                </c:pt>
                <c:pt idx="61">
                  <c:v>0.50189332034645584</c:v>
                </c:pt>
                <c:pt idx="62">
                  <c:v>0.45932936210513664</c:v>
                </c:pt>
                <c:pt idx="63">
                  <c:v>0.42177844392721214</c:v>
                </c:pt>
                <c:pt idx="64">
                  <c:v>0.38611365646213058</c:v>
                </c:pt>
                <c:pt idx="65">
                  <c:v>0.35447019659479961</c:v>
                </c:pt>
                <c:pt idx="66">
                  <c:v>0.32456194775558345</c:v>
                </c:pt>
                <c:pt idx="67">
                  <c:v>0.2972706108093206</c:v>
                </c:pt>
                <c:pt idx="68">
                  <c:v>0.27296804776796141</c:v>
                </c:pt>
                <c:pt idx="69">
                  <c:v>0.25001801426839321</c:v>
                </c:pt>
                <c:pt idx="70">
                  <c:v>0.22940595470164937</c:v>
                </c:pt>
                <c:pt idx="71">
                  <c:v>0.21011693016624422</c:v>
                </c:pt>
                <c:pt idx="72">
                  <c:v>0.19243001130718121</c:v>
                </c:pt>
                <c:pt idx="73">
                  <c:v>0.17763048297188802</c:v>
                </c:pt>
                <c:pt idx="74">
                  <c:v>0.16266940288202134</c:v>
                </c:pt>
                <c:pt idx="75">
                  <c:v>0.14941202558542049</c:v>
                </c:pt>
                <c:pt idx="76">
                  <c:v>0.13683663640634541</c:v>
                </c:pt>
                <c:pt idx="77">
                  <c:v>0.12595822978878729</c:v>
                </c:pt>
                <c:pt idx="78">
                  <c:v>0.11545469208986107</c:v>
                </c:pt>
                <c:pt idx="79">
                  <c:v>0.10581710093263587</c:v>
                </c:pt>
                <c:pt idx="80">
                  <c:v>9.7293114795229438E-2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SensFracLenght!$D$26:$D$106</c:f>
              <c:numCache>
                <c:formatCode>0.0</c:formatCode>
                <c:ptCount val="81"/>
                <c:pt idx="0">
                  <c:v>31</c:v>
                </c:pt>
                <c:pt idx="1">
                  <c:v>59</c:v>
                </c:pt>
                <c:pt idx="2">
                  <c:v>90</c:v>
                </c:pt>
                <c:pt idx="3">
                  <c:v>120</c:v>
                </c:pt>
                <c:pt idx="4">
                  <c:v>151</c:v>
                </c:pt>
                <c:pt idx="5">
                  <c:v>181</c:v>
                </c:pt>
                <c:pt idx="6">
                  <c:v>212</c:v>
                </c:pt>
                <c:pt idx="7">
                  <c:v>243</c:v>
                </c:pt>
                <c:pt idx="8">
                  <c:v>273</c:v>
                </c:pt>
                <c:pt idx="9">
                  <c:v>304</c:v>
                </c:pt>
                <c:pt idx="10">
                  <c:v>334</c:v>
                </c:pt>
                <c:pt idx="11">
                  <c:v>365</c:v>
                </c:pt>
                <c:pt idx="12">
                  <c:v>396</c:v>
                </c:pt>
                <c:pt idx="13">
                  <c:v>424</c:v>
                </c:pt>
                <c:pt idx="14">
                  <c:v>455</c:v>
                </c:pt>
                <c:pt idx="15">
                  <c:v>485</c:v>
                </c:pt>
                <c:pt idx="16">
                  <c:v>516</c:v>
                </c:pt>
                <c:pt idx="17">
                  <c:v>546</c:v>
                </c:pt>
                <c:pt idx="18">
                  <c:v>577</c:v>
                </c:pt>
                <c:pt idx="19">
                  <c:v>608</c:v>
                </c:pt>
                <c:pt idx="20">
                  <c:v>638</c:v>
                </c:pt>
                <c:pt idx="21">
                  <c:v>669</c:v>
                </c:pt>
                <c:pt idx="22">
                  <c:v>699</c:v>
                </c:pt>
                <c:pt idx="23">
                  <c:v>730</c:v>
                </c:pt>
                <c:pt idx="24">
                  <c:v>761</c:v>
                </c:pt>
                <c:pt idx="25">
                  <c:v>789</c:v>
                </c:pt>
                <c:pt idx="26">
                  <c:v>820</c:v>
                </c:pt>
                <c:pt idx="27">
                  <c:v>850</c:v>
                </c:pt>
                <c:pt idx="28">
                  <c:v>881</c:v>
                </c:pt>
                <c:pt idx="29">
                  <c:v>911</c:v>
                </c:pt>
                <c:pt idx="30">
                  <c:v>942</c:v>
                </c:pt>
                <c:pt idx="31">
                  <c:v>973</c:v>
                </c:pt>
                <c:pt idx="32">
                  <c:v>1003</c:v>
                </c:pt>
                <c:pt idx="33">
                  <c:v>1034</c:v>
                </c:pt>
                <c:pt idx="34">
                  <c:v>1064</c:v>
                </c:pt>
                <c:pt idx="35">
                  <c:v>1095</c:v>
                </c:pt>
                <c:pt idx="36">
                  <c:v>1126</c:v>
                </c:pt>
                <c:pt idx="37">
                  <c:v>1155</c:v>
                </c:pt>
                <c:pt idx="38">
                  <c:v>1186</c:v>
                </c:pt>
                <c:pt idx="39">
                  <c:v>1216</c:v>
                </c:pt>
                <c:pt idx="40">
                  <c:v>1247</c:v>
                </c:pt>
                <c:pt idx="41">
                  <c:v>1277</c:v>
                </c:pt>
                <c:pt idx="42">
                  <c:v>1308</c:v>
                </c:pt>
                <c:pt idx="43">
                  <c:v>1339</c:v>
                </c:pt>
                <c:pt idx="44">
                  <c:v>1369</c:v>
                </c:pt>
                <c:pt idx="45">
                  <c:v>1400</c:v>
                </c:pt>
                <c:pt idx="46">
                  <c:v>1430</c:v>
                </c:pt>
                <c:pt idx="47">
                  <c:v>1461</c:v>
                </c:pt>
                <c:pt idx="48">
                  <c:v>1492</c:v>
                </c:pt>
                <c:pt idx="49">
                  <c:v>1520</c:v>
                </c:pt>
                <c:pt idx="50">
                  <c:v>1551</c:v>
                </c:pt>
                <c:pt idx="51">
                  <c:v>1581</c:v>
                </c:pt>
                <c:pt idx="52">
                  <c:v>1612</c:v>
                </c:pt>
                <c:pt idx="53">
                  <c:v>1642</c:v>
                </c:pt>
                <c:pt idx="54">
                  <c:v>1673</c:v>
                </c:pt>
                <c:pt idx="55">
                  <c:v>1704</c:v>
                </c:pt>
                <c:pt idx="56">
                  <c:v>1734</c:v>
                </c:pt>
                <c:pt idx="57">
                  <c:v>1765</c:v>
                </c:pt>
                <c:pt idx="58">
                  <c:v>1795</c:v>
                </c:pt>
                <c:pt idx="59">
                  <c:v>1826</c:v>
                </c:pt>
                <c:pt idx="60">
                  <c:v>1857</c:v>
                </c:pt>
                <c:pt idx="61">
                  <c:v>1885</c:v>
                </c:pt>
                <c:pt idx="62">
                  <c:v>1916</c:v>
                </c:pt>
                <c:pt idx="63">
                  <c:v>1946</c:v>
                </c:pt>
                <c:pt idx="64">
                  <c:v>1977</c:v>
                </c:pt>
                <c:pt idx="65">
                  <c:v>2007</c:v>
                </c:pt>
                <c:pt idx="66">
                  <c:v>2038</c:v>
                </c:pt>
                <c:pt idx="67">
                  <c:v>2069</c:v>
                </c:pt>
                <c:pt idx="68">
                  <c:v>2099</c:v>
                </c:pt>
                <c:pt idx="69">
                  <c:v>2130</c:v>
                </c:pt>
                <c:pt idx="70">
                  <c:v>2160</c:v>
                </c:pt>
                <c:pt idx="71">
                  <c:v>2191</c:v>
                </c:pt>
                <c:pt idx="72">
                  <c:v>2222</c:v>
                </c:pt>
                <c:pt idx="73">
                  <c:v>2250</c:v>
                </c:pt>
                <c:pt idx="74">
                  <c:v>2281</c:v>
                </c:pt>
                <c:pt idx="75">
                  <c:v>2311</c:v>
                </c:pt>
                <c:pt idx="76">
                  <c:v>2342</c:v>
                </c:pt>
                <c:pt idx="77">
                  <c:v>2372</c:v>
                </c:pt>
                <c:pt idx="78">
                  <c:v>2403</c:v>
                </c:pt>
                <c:pt idx="79">
                  <c:v>2434</c:v>
                </c:pt>
                <c:pt idx="80">
                  <c:v>2464</c:v>
                </c:pt>
              </c:numCache>
            </c:numRef>
          </c:xVal>
          <c:yVal>
            <c:numRef>
              <c:f>SensFracLenght!$H$26:$H$106</c:f>
              <c:numCache>
                <c:formatCode>0.0</c:formatCode>
                <c:ptCount val="81"/>
              </c:numCache>
            </c:numRef>
          </c:yVal>
          <c:smooth val="1"/>
        </c:ser>
        <c:ser>
          <c:idx val="4"/>
          <c:order val="4"/>
          <c:spPr>
            <a:ln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SensFracLenght!$D$26:$D$106</c:f>
              <c:numCache>
                <c:formatCode>0.0</c:formatCode>
                <c:ptCount val="81"/>
                <c:pt idx="0">
                  <c:v>31</c:v>
                </c:pt>
                <c:pt idx="1">
                  <c:v>59</c:v>
                </c:pt>
                <c:pt idx="2">
                  <c:v>90</c:v>
                </c:pt>
                <c:pt idx="3">
                  <c:v>120</c:v>
                </c:pt>
                <c:pt idx="4">
                  <c:v>151</c:v>
                </c:pt>
                <c:pt idx="5">
                  <c:v>181</c:v>
                </c:pt>
                <c:pt idx="6">
                  <c:v>212</c:v>
                </c:pt>
                <c:pt idx="7">
                  <c:v>243</c:v>
                </c:pt>
                <c:pt idx="8">
                  <c:v>273</c:v>
                </c:pt>
                <c:pt idx="9">
                  <c:v>304</c:v>
                </c:pt>
                <c:pt idx="10">
                  <c:v>334</c:v>
                </c:pt>
                <c:pt idx="11">
                  <c:v>365</c:v>
                </c:pt>
                <c:pt idx="12">
                  <c:v>396</c:v>
                </c:pt>
                <c:pt idx="13">
                  <c:v>424</c:v>
                </c:pt>
                <c:pt idx="14">
                  <c:v>455</c:v>
                </c:pt>
                <c:pt idx="15">
                  <c:v>485</c:v>
                </c:pt>
                <c:pt idx="16">
                  <c:v>516</c:v>
                </c:pt>
                <c:pt idx="17">
                  <c:v>546</c:v>
                </c:pt>
                <c:pt idx="18">
                  <c:v>577</c:v>
                </c:pt>
                <c:pt idx="19">
                  <c:v>608</c:v>
                </c:pt>
                <c:pt idx="20">
                  <c:v>638</c:v>
                </c:pt>
                <c:pt idx="21">
                  <c:v>669</c:v>
                </c:pt>
                <c:pt idx="22">
                  <c:v>699</c:v>
                </c:pt>
                <c:pt idx="23">
                  <c:v>730</c:v>
                </c:pt>
                <c:pt idx="24">
                  <c:v>761</c:v>
                </c:pt>
                <c:pt idx="25">
                  <c:v>789</c:v>
                </c:pt>
                <c:pt idx="26">
                  <c:v>820</c:v>
                </c:pt>
                <c:pt idx="27">
                  <c:v>850</c:v>
                </c:pt>
                <c:pt idx="28">
                  <c:v>881</c:v>
                </c:pt>
                <c:pt idx="29">
                  <c:v>911</c:v>
                </c:pt>
                <c:pt idx="30">
                  <c:v>942</c:v>
                </c:pt>
                <c:pt idx="31">
                  <c:v>973</c:v>
                </c:pt>
                <c:pt idx="32">
                  <c:v>1003</c:v>
                </c:pt>
                <c:pt idx="33">
                  <c:v>1034</c:v>
                </c:pt>
                <c:pt idx="34">
                  <c:v>1064</c:v>
                </c:pt>
                <c:pt idx="35">
                  <c:v>1095</c:v>
                </c:pt>
                <c:pt idx="36">
                  <c:v>1126</c:v>
                </c:pt>
                <c:pt idx="37">
                  <c:v>1155</c:v>
                </c:pt>
                <c:pt idx="38">
                  <c:v>1186</c:v>
                </c:pt>
                <c:pt idx="39">
                  <c:v>1216</c:v>
                </c:pt>
                <c:pt idx="40">
                  <c:v>1247</c:v>
                </c:pt>
                <c:pt idx="41">
                  <c:v>1277</c:v>
                </c:pt>
                <c:pt idx="42">
                  <c:v>1308</c:v>
                </c:pt>
                <c:pt idx="43">
                  <c:v>1339</c:v>
                </c:pt>
                <c:pt idx="44">
                  <c:v>1369</c:v>
                </c:pt>
                <c:pt idx="45">
                  <c:v>1400</c:v>
                </c:pt>
                <c:pt idx="46">
                  <c:v>1430</c:v>
                </c:pt>
                <c:pt idx="47">
                  <c:v>1461</c:v>
                </c:pt>
                <c:pt idx="48">
                  <c:v>1492</c:v>
                </c:pt>
                <c:pt idx="49">
                  <c:v>1520</c:v>
                </c:pt>
                <c:pt idx="50">
                  <c:v>1551</c:v>
                </c:pt>
                <c:pt idx="51">
                  <c:v>1581</c:v>
                </c:pt>
                <c:pt idx="52">
                  <c:v>1612</c:v>
                </c:pt>
                <c:pt idx="53">
                  <c:v>1642</c:v>
                </c:pt>
                <c:pt idx="54">
                  <c:v>1673</c:v>
                </c:pt>
                <c:pt idx="55">
                  <c:v>1704</c:v>
                </c:pt>
                <c:pt idx="56">
                  <c:v>1734</c:v>
                </c:pt>
                <c:pt idx="57">
                  <c:v>1765</c:v>
                </c:pt>
                <c:pt idx="58">
                  <c:v>1795</c:v>
                </c:pt>
                <c:pt idx="59">
                  <c:v>1826</c:v>
                </c:pt>
                <c:pt idx="60">
                  <c:v>1857</c:v>
                </c:pt>
                <c:pt idx="61">
                  <c:v>1885</c:v>
                </c:pt>
                <c:pt idx="62">
                  <c:v>1916</c:v>
                </c:pt>
                <c:pt idx="63">
                  <c:v>1946</c:v>
                </c:pt>
                <c:pt idx="64">
                  <c:v>1977</c:v>
                </c:pt>
                <c:pt idx="65">
                  <c:v>2007</c:v>
                </c:pt>
                <c:pt idx="66">
                  <c:v>2038</c:v>
                </c:pt>
                <c:pt idx="67">
                  <c:v>2069</c:v>
                </c:pt>
                <c:pt idx="68">
                  <c:v>2099</c:v>
                </c:pt>
                <c:pt idx="69">
                  <c:v>2130</c:v>
                </c:pt>
                <c:pt idx="70">
                  <c:v>2160</c:v>
                </c:pt>
                <c:pt idx="71">
                  <c:v>2191</c:v>
                </c:pt>
                <c:pt idx="72">
                  <c:v>2222</c:v>
                </c:pt>
                <c:pt idx="73">
                  <c:v>2250</c:v>
                </c:pt>
                <c:pt idx="74">
                  <c:v>2281</c:v>
                </c:pt>
                <c:pt idx="75">
                  <c:v>2311</c:v>
                </c:pt>
                <c:pt idx="76">
                  <c:v>2342</c:v>
                </c:pt>
                <c:pt idx="77">
                  <c:v>2372</c:v>
                </c:pt>
                <c:pt idx="78">
                  <c:v>2403</c:v>
                </c:pt>
                <c:pt idx="79">
                  <c:v>2434</c:v>
                </c:pt>
                <c:pt idx="80">
                  <c:v>2464</c:v>
                </c:pt>
              </c:numCache>
            </c:numRef>
          </c:xVal>
          <c:yVal>
            <c:numRef>
              <c:f>SensFracLenght!$I$26:$I$106</c:f>
              <c:numCache>
                <c:formatCode>0.0</c:formatCode>
                <c:ptCount val="81"/>
                <c:pt idx="0">
                  <c:v>4.5968094627515326</c:v>
                </c:pt>
                <c:pt idx="1">
                  <c:v>4.1740635667765442</c:v>
                </c:pt>
                <c:pt idx="2">
                  <c:v>3.9343630607605826</c:v>
                </c:pt>
                <c:pt idx="3">
                  <c:v>3.7854677439914233</c:v>
                </c:pt>
                <c:pt idx="4">
                  <c:v>3.6740176471755079</c:v>
                </c:pt>
                <c:pt idx="5">
                  <c:v>3.590198527725188</c:v>
                </c:pt>
                <c:pt idx="6">
                  <c:v>3.5202129128824859</c:v>
                </c:pt>
                <c:pt idx="7">
                  <c:v>3.4618384757265717</c:v>
                </c:pt>
                <c:pt idx="8">
                  <c:v>3.4135424541513233</c:v>
                </c:pt>
                <c:pt idx="9">
                  <c:v>3.3699968191111234</c:v>
                </c:pt>
                <c:pt idx="10">
                  <c:v>3.3327979714635654</c:v>
                </c:pt>
                <c:pt idx="11">
                  <c:v>3.2984260186495526</c:v>
                </c:pt>
                <c:pt idx="12">
                  <c:v>3.2674413941640106</c:v>
                </c:pt>
                <c:pt idx="13">
                  <c:v>3.2419057336706092</c:v>
                </c:pt>
                <c:pt idx="14">
                  <c:v>3.2159182399685915</c:v>
                </c:pt>
                <c:pt idx="15">
                  <c:v>3.192748463215354</c:v>
                </c:pt>
                <c:pt idx="16">
                  <c:v>3.1705555638810905</c:v>
                </c:pt>
                <c:pt idx="17">
                  <c:v>3.1505668672349505</c:v>
                </c:pt>
                <c:pt idx="18">
                  <c:v>3.1312332268173777</c:v>
                </c:pt>
                <c:pt idx="19">
                  <c:v>3.1131016912160208</c:v>
                </c:pt>
                <c:pt idx="20">
                  <c:v>3.0965628275952892</c:v>
                </c:pt>
                <c:pt idx="21">
                  <c:v>3.0803966381962247</c:v>
                </c:pt>
                <c:pt idx="22">
                  <c:v>3.0655608349271111</c:v>
                </c:pt>
                <c:pt idx="23">
                  <c:v>3.0509608058639106</c:v>
                </c:pt>
                <c:pt idx="24">
                  <c:v>3.0370320811732885</c:v>
                </c:pt>
                <c:pt idx="25">
                  <c:v>3.0249778926768998</c:v>
                </c:pt>
                <c:pt idx="26">
                  <c:v>3.0121699246179721</c:v>
                </c:pt>
                <c:pt idx="27">
                  <c:v>3.0002315149818837</c:v>
                </c:pt>
                <c:pt idx="28">
                  <c:v>2.9883616340594594</c:v>
                </c:pt>
                <c:pt idx="29">
                  <c:v>2.9772560019955923</c:v>
                </c:pt>
                <c:pt idx="30">
                  <c:v>2.9661429842733305</c:v>
                </c:pt>
                <c:pt idx="31">
                  <c:v>2.9553913529858979</c:v>
                </c:pt>
                <c:pt idx="32">
                  <c:v>2.9452691818010472</c:v>
                </c:pt>
                <c:pt idx="33">
                  <c:v>2.9350973410243033</c:v>
                </c:pt>
                <c:pt idx="34">
                  <c:v>2.9254952107671937</c:v>
                </c:pt>
                <c:pt idx="35">
                  <c:v>2.9158131476857467</c:v>
                </c:pt>
                <c:pt idx="36">
                  <c:v>2.9063588022257796</c:v>
                </c:pt>
                <c:pt idx="37">
                  <c:v>2.897691107411716</c:v>
                </c:pt>
                <c:pt idx="38">
                  <c:v>2.8886039561989589</c:v>
                </c:pt>
                <c:pt idx="39">
                  <c:v>2.8799725100423106</c:v>
                </c:pt>
                <c:pt idx="40">
                  <c:v>2.8712185564279507</c:v>
                </c:pt>
                <c:pt idx="41">
                  <c:v>2.8628903649049433</c:v>
                </c:pt>
                <c:pt idx="42">
                  <c:v>2.8544110290723439</c:v>
                </c:pt>
                <c:pt idx="43">
                  <c:v>2.8460635204144644</c:v>
                </c:pt>
                <c:pt idx="44">
                  <c:v>2.8380891163160991</c:v>
                </c:pt>
                <c:pt idx="45">
                  <c:v>2.8299639723947245</c:v>
                </c:pt>
                <c:pt idx="46">
                  <c:v>2.8222007419174142</c:v>
                </c:pt>
                <c:pt idx="47">
                  <c:v>2.8142644676531279</c:v>
                </c:pt>
                <c:pt idx="48">
                  <c:v>2.8064246143282436</c:v>
                </c:pt>
                <c:pt idx="49">
                  <c:v>2.7994076625558062</c:v>
                </c:pt>
                <c:pt idx="50">
                  <c:v>2.7917143948173693</c:v>
                </c:pt>
                <c:pt idx="51">
                  <c:v>2.7843420381265283</c:v>
                </c:pt>
                <c:pt idx="52">
                  <c:v>2.7767948751135818</c:v>
                </c:pt>
                <c:pt idx="53">
                  <c:v>2.7695511112270763</c:v>
                </c:pt>
                <c:pt idx="54">
                  <c:v>2.7621234600656597</c:v>
                </c:pt>
                <c:pt idx="55">
                  <c:v>2.7547466010718877</c:v>
                </c:pt>
                <c:pt idx="56">
                  <c:v>2.7476674597685187</c:v>
                </c:pt>
                <c:pt idx="57">
                  <c:v>2.7404010932090803</c:v>
                </c:pt>
                <c:pt idx="58">
                  <c:v>2.7334131926630447</c:v>
                </c:pt>
                <c:pt idx="59">
                  <c:v>2.7262354699265203</c:v>
                </c:pt>
                <c:pt idx="60">
                  <c:v>2.7191105789881593</c:v>
                </c:pt>
                <c:pt idx="61">
                  <c:v>2.7127025212450526</c:v>
                </c:pt>
                <c:pt idx="62">
                  <c:v>2.7056542130402343</c:v>
                </c:pt>
                <c:pt idx="63">
                  <c:v>2.6988672874963782</c:v>
                </c:pt>
                <c:pt idx="64">
                  <c:v>2.6918851725731501</c:v>
                </c:pt>
                <c:pt idx="65">
                  <c:v>2.6851628835298804</c:v>
                </c:pt>
                <c:pt idx="66">
                  <c:v>2.6782585803929857</c:v>
                </c:pt>
                <c:pt idx="67">
                  <c:v>2.6713732585988028</c:v>
                </c:pt>
                <c:pt idx="68">
                  <c:v>2.6647453846013462</c:v>
                </c:pt>
                <c:pt idx="69">
                  <c:v>2.6579246699730783</c:v>
                </c:pt>
                <c:pt idx="70">
                  <c:v>2.6513535022955463</c:v>
                </c:pt>
                <c:pt idx="71">
                  <c:v>2.644589587326041</c:v>
                </c:pt>
                <c:pt idx="72">
                  <c:v>2.6378563610034296</c:v>
                </c:pt>
                <c:pt idx="73">
                  <c:v>2.6317934825428799</c:v>
                </c:pt>
                <c:pt idx="74">
                  <c:v>2.6251035876305662</c:v>
                </c:pt>
                <c:pt idx="75">
                  <c:v>2.6186561559561121</c:v>
                </c:pt>
                <c:pt idx="76">
                  <c:v>2.6120185795194968</c:v>
                </c:pt>
                <c:pt idx="77">
                  <c:v>2.6056106597960875</c:v>
                </c:pt>
                <c:pt idx="78">
                  <c:v>2.5990195354083037</c:v>
                </c:pt>
                <c:pt idx="79">
                  <c:v>2.5924450464535083</c:v>
                </c:pt>
                <c:pt idx="80">
                  <c:v>2.5861085469317473</c:v>
                </c:pt>
              </c:numCache>
            </c:numRef>
          </c:yVal>
          <c:smooth val="1"/>
        </c:ser>
        <c:ser>
          <c:idx val="5"/>
          <c:order val="5"/>
          <c:spPr>
            <a:ln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SensFracLenght!$D$26:$D$106</c:f>
              <c:numCache>
                <c:formatCode>0.0</c:formatCode>
                <c:ptCount val="81"/>
                <c:pt idx="0">
                  <c:v>31</c:v>
                </c:pt>
                <c:pt idx="1">
                  <c:v>59</c:v>
                </c:pt>
                <c:pt idx="2">
                  <c:v>90</c:v>
                </c:pt>
                <c:pt idx="3">
                  <c:v>120</c:v>
                </c:pt>
                <c:pt idx="4">
                  <c:v>151</c:v>
                </c:pt>
                <c:pt idx="5">
                  <c:v>181</c:v>
                </c:pt>
                <c:pt idx="6">
                  <c:v>212</c:v>
                </c:pt>
                <c:pt idx="7">
                  <c:v>243</c:v>
                </c:pt>
                <c:pt idx="8">
                  <c:v>273</c:v>
                </c:pt>
                <c:pt idx="9">
                  <c:v>304</c:v>
                </c:pt>
                <c:pt idx="10">
                  <c:v>334</c:v>
                </c:pt>
                <c:pt idx="11">
                  <c:v>365</c:v>
                </c:pt>
                <c:pt idx="12">
                  <c:v>396</c:v>
                </c:pt>
                <c:pt idx="13">
                  <c:v>424</c:v>
                </c:pt>
                <c:pt idx="14">
                  <c:v>455</c:v>
                </c:pt>
                <c:pt idx="15">
                  <c:v>485</c:v>
                </c:pt>
                <c:pt idx="16">
                  <c:v>516</c:v>
                </c:pt>
                <c:pt idx="17">
                  <c:v>546</c:v>
                </c:pt>
                <c:pt idx="18">
                  <c:v>577</c:v>
                </c:pt>
                <c:pt idx="19">
                  <c:v>608</c:v>
                </c:pt>
                <c:pt idx="20">
                  <c:v>638</c:v>
                </c:pt>
                <c:pt idx="21">
                  <c:v>669</c:v>
                </c:pt>
                <c:pt idx="22">
                  <c:v>699</c:v>
                </c:pt>
                <c:pt idx="23">
                  <c:v>730</c:v>
                </c:pt>
                <c:pt idx="24">
                  <c:v>761</c:v>
                </c:pt>
                <c:pt idx="25">
                  <c:v>789</c:v>
                </c:pt>
                <c:pt idx="26">
                  <c:v>820</c:v>
                </c:pt>
                <c:pt idx="27">
                  <c:v>850</c:v>
                </c:pt>
                <c:pt idx="28">
                  <c:v>881</c:v>
                </c:pt>
                <c:pt idx="29">
                  <c:v>911</c:v>
                </c:pt>
                <c:pt idx="30">
                  <c:v>942</c:v>
                </c:pt>
                <c:pt idx="31">
                  <c:v>973</c:v>
                </c:pt>
                <c:pt idx="32">
                  <c:v>1003</c:v>
                </c:pt>
                <c:pt idx="33">
                  <c:v>1034</c:v>
                </c:pt>
                <c:pt idx="34">
                  <c:v>1064</c:v>
                </c:pt>
                <c:pt idx="35">
                  <c:v>1095</c:v>
                </c:pt>
                <c:pt idx="36">
                  <c:v>1126</c:v>
                </c:pt>
                <c:pt idx="37">
                  <c:v>1155</c:v>
                </c:pt>
                <c:pt idx="38">
                  <c:v>1186</c:v>
                </c:pt>
                <c:pt idx="39">
                  <c:v>1216</c:v>
                </c:pt>
                <c:pt idx="40">
                  <c:v>1247</c:v>
                </c:pt>
                <c:pt idx="41">
                  <c:v>1277</c:v>
                </c:pt>
                <c:pt idx="42">
                  <c:v>1308</c:v>
                </c:pt>
                <c:pt idx="43">
                  <c:v>1339</c:v>
                </c:pt>
                <c:pt idx="44">
                  <c:v>1369</c:v>
                </c:pt>
                <c:pt idx="45">
                  <c:v>1400</c:v>
                </c:pt>
                <c:pt idx="46">
                  <c:v>1430</c:v>
                </c:pt>
                <c:pt idx="47">
                  <c:v>1461</c:v>
                </c:pt>
                <c:pt idx="48">
                  <c:v>1492</c:v>
                </c:pt>
                <c:pt idx="49">
                  <c:v>1520</c:v>
                </c:pt>
                <c:pt idx="50">
                  <c:v>1551</c:v>
                </c:pt>
                <c:pt idx="51">
                  <c:v>1581</c:v>
                </c:pt>
                <c:pt idx="52">
                  <c:v>1612</c:v>
                </c:pt>
                <c:pt idx="53">
                  <c:v>1642</c:v>
                </c:pt>
                <c:pt idx="54">
                  <c:v>1673</c:v>
                </c:pt>
                <c:pt idx="55">
                  <c:v>1704</c:v>
                </c:pt>
                <c:pt idx="56">
                  <c:v>1734</c:v>
                </c:pt>
                <c:pt idx="57">
                  <c:v>1765</c:v>
                </c:pt>
                <c:pt idx="58">
                  <c:v>1795</c:v>
                </c:pt>
                <c:pt idx="59">
                  <c:v>1826</c:v>
                </c:pt>
                <c:pt idx="60">
                  <c:v>1857</c:v>
                </c:pt>
                <c:pt idx="61">
                  <c:v>1885</c:v>
                </c:pt>
                <c:pt idx="62">
                  <c:v>1916</c:v>
                </c:pt>
                <c:pt idx="63">
                  <c:v>1946</c:v>
                </c:pt>
                <c:pt idx="64">
                  <c:v>1977</c:v>
                </c:pt>
                <c:pt idx="65">
                  <c:v>2007</c:v>
                </c:pt>
                <c:pt idx="66">
                  <c:v>2038</c:v>
                </c:pt>
                <c:pt idx="67">
                  <c:v>2069</c:v>
                </c:pt>
                <c:pt idx="68">
                  <c:v>2099</c:v>
                </c:pt>
                <c:pt idx="69">
                  <c:v>2130</c:v>
                </c:pt>
                <c:pt idx="70">
                  <c:v>2160</c:v>
                </c:pt>
                <c:pt idx="71">
                  <c:v>2191</c:v>
                </c:pt>
                <c:pt idx="72">
                  <c:v>2222</c:v>
                </c:pt>
                <c:pt idx="73">
                  <c:v>2250</c:v>
                </c:pt>
                <c:pt idx="74">
                  <c:v>2281</c:v>
                </c:pt>
                <c:pt idx="75">
                  <c:v>2311</c:v>
                </c:pt>
                <c:pt idx="76">
                  <c:v>2342</c:v>
                </c:pt>
                <c:pt idx="77">
                  <c:v>2372</c:v>
                </c:pt>
                <c:pt idx="78">
                  <c:v>2403</c:v>
                </c:pt>
                <c:pt idx="79">
                  <c:v>2434</c:v>
                </c:pt>
                <c:pt idx="80">
                  <c:v>2464</c:v>
                </c:pt>
              </c:numCache>
            </c:numRef>
          </c:xVal>
          <c:yVal>
            <c:numRef>
              <c:f>SensFracLenght!$J$26:$J$106</c:f>
              <c:numCache>
                <c:formatCode>0.0</c:formatCode>
                <c:ptCount val="81"/>
                <c:pt idx="0">
                  <c:v>8.7981780518185726</c:v>
                </c:pt>
                <c:pt idx="1">
                  <c:v>7.4995622890088081</c:v>
                </c:pt>
                <c:pt idx="2">
                  <c:v>6.8221616796342044</c:v>
                </c:pt>
                <c:pt idx="3">
                  <c:v>6.4206740093485131</c:v>
                </c:pt>
                <c:pt idx="4">
                  <c:v>6.1294015561979744</c:v>
                </c:pt>
                <c:pt idx="5">
                  <c:v>5.9156085940266587</c:v>
                </c:pt>
                <c:pt idx="6">
                  <c:v>5.7401482896656839</c:v>
                </c:pt>
                <c:pt idx="7">
                  <c:v>5.5960871514863388</c:v>
                </c:pt>
                <c:pt idx="8">
                  <c:v>5.4784463108889341</c:v>
                </c:pt>
                <c:pt idx="9">
                  <c:v>5.3734721965976133</c:v>
                </c:pt>
                <c:pt idx="10">
                  <c:v>5.2847756910412533</c:v>
                </c:pt>
                <c:pt idx="11">
                  <c:v>5.2034177848396919</c:v>
                </c:pt>
                <c:pt idx="12">
                  <c:v>5.1307209815167774</c:v>
                </c:pt>
                <c:pt idx="13">
                  <c:v>5.0712045560921286</c:v>
                </c:pt>
                <c:pt idx="14">
                  <c:v>5.0110161613482544</c:v>
                </c:pt>
                <c:pt idx="15">
                  <c:v>4.9576521595865071</c:v>
                </c:pt>
                <c:pt idx="16">
                  <c:v>4.9068075003375808</c:v>
                </c:pt>
                <c:pt idx="17">
                  <c:v>4.8612116377489309</c:v>
                </c:pt>
                <c:pt idx="18">
                  <c:v>4.8173119293567552</c:v>
                </c:pt>
                <c:pt idx="19">
                  <c:v>4.7762765903129232</c:v>
                </c:pt>
                <c:pt idx="20">
                  <c:v>4.7389761666957364</c:v>
                </c:pt>
                <c:pt idx="21">
                  <c:v>4.7025991953682578</c:v>
                </c:pt>
                <c:pt idx="22">
                  <c:v>4.6692727637627272</c:v>
                </c:pt>
                <c:pt idx="23">
                  <c:v>4.6365529922669504</c:v>
                </c:pt>
                <c:pt idx="24">
                  <c:v>4.6053993522112222</c:v>
                </c:pt>
                <c:pt idx="25">
                  <c:v>4.5784639458760354</c:v>
                </c:pt>
                <c:pt idx="26">
                  <c:v>4.5498362905722267</c:v>
                </c:pt>
                <c:pt idx="27">
                  <c:v>4.52320351617748</c:v>
                </c:pt>
                <c:pt idx="28">
                  <c:v>4.496695137891348</c:v>
                </c:pt>
                <c:pt idx="29">
                  <c:v>4.4719248517945216</c:v>
                </c:pt>
                <c:pt idx="30">
                  <c:v>4.4471376628103982</c:v>
                </c:pt>
                <c:pt idx="31">
                  <c:v>4.4231252987458891</c:v>
                </c:pt>
                <c:pt idx="32">
                  <c:v>4.4005309970015141</c:v>
                </c:pt>
                <c:pt idx="33">
                  <c:v>4.377805966987462</c:v>
                </c:pt>
                <c:pt idx="34">
                  <c:v>4.3563575399923629</c:v>
                </c:pt>
                <c:pt idx="35">
                  <c:v>4.334716744230894</c:v>
                </c:pt>
                <c:pt idx="36">
                  <c:v>4.3135498965780616</c:v>
                </c:pt>
                <c:pt idx="37">
                  <c:v>4.2941572148473437</c:v>
                </c:pt>
                <c:pt idx="38">
                  <c:v>4.2738141338386262</c:v>
                </c:pt>
                <c:pt idx="39">
                  <c:v>4.2544864409125509</c:v>
                </c:pt>
                <c:pt idx="40">
                  <c:v>4.2348575664734254</c:v>
                </c:pt>
                <c:pt idx="41">
                  <c:v>4.2161623602364902</c:v>
                </c:pt>
                <c:pt idx="42">
                  <c:v>4.1971473054732318</c:v>
                </c:pt>
                <c:pt idx="43">
                  <c:v>4.17840485729075</c:v>
                </c:pt>
                <c:pt idx="44">
                  <c:v>4.1605096445318326</c:v>
                </c:pt>
                <c:pt idx="45">
                  <c:v>4.1422599457195535</c:v>
                </c:pt>
                <c:pt idx="46">
                  <c:v>4.1248088771116356</c:v>
                </c:pt>
                <c:pt idx="47">
                  <c:v>4.1069841652230421</c:v>
                </c:pt>
                <c:pt idx="48">
                  <c:v>4.0893592170300117</c:v>
                </c:pt>
                <c:pt idx="49">
                  <c:v>4.0736011929513944</c:v>
                </c:pt>
                <c:pt idx="50">
                  <c:v>4.0563214541161594</c:v>
                </c:pt>
                <c:pt idx="51">
                  <c:v>4.0397525637506302</c:v>
                </c:pt>
                <c:pt idx="52">
                  <c:v>4.0227875467038814</c:v>
                </c:pt>
                <c:pt idx="53">
                  <c:v>4.0065126653528003</c:v>
                </c:pt>
                <c:pt idx="54">
                  <c:v>3.9898362852219313</c:v>
                </c:pt>
                <c:pt idx="55">
                  <c:v>3.9732899157652808</c:v>
                </c:pt>
                <c:pt idx="56">
                  <c:v>3.9574027673748353</c:v>
                </c:pt>
                <c:pt idx="57">
                  <c:v>3.9411046292109631</c:v>
                </c:pt>
                <c:pt idx="58">
                  <c:v>3.9254434870745434</c:v>
                </c:pt>
                <c:pt idx="59">
                  <c:v>3.9093743621262353</c:v>
                </c:pt>
                <c:pt idx="60">
                  <c:v>3.8934154538608641</c:v>
                </c:pt>
                <c:pt idx="61">
                  <c:v>3.8790839239484383</c:v>
                </c:pt>
                <c:pt idx="62">
                  <c:v>3.8633143584525884</c:v>
                </c:pt>
                <c:pt idx="63">
                  <c:v>3.8481470778804741</c:v>
                </c:pt>
                <c:pt idx="64">
                  <c:v>3.8325643895606114</c:v>
                </c:pt>
                <c:pt idx="65">
                  <c:v>3.8175719890518502</c:v>
                </c:pt>
                <c:pt idx="66">
                  <c:v>3.8021642391903985</c:v>
                </c:pt>
                <c:pt idx="67">
                  <c:v>3.7868485027442467</c:v>
                </c:pt>
                <c:pt idx="68">
                  <c:v>3.7721010822894137</c:v>
                </c:pt>
                <c:pt idx="69">
                  <c:v>3.7569451773435811</c:v>
                </c:pt>
                <c:pt idx="70">
                  <c:v>3.7423476941705514</c:v>
                </c:pt>
                <c:pt idx="71">
                  <c:v>3.7273456179653199</c:v>
                </c:pt>
                <c:pt idx="72">
                  <c:v>3.7124206385978042</c:v>
                </c:pt>
                <c:pt idx="73">
                  <c:v>3.6989921092645393</c:v>
                </c:pt>
                <c:pt idx="74">
                  <c:v>3.6842047158010085</c:v>
                </c:pt>
                <c:pt idx="75">
                  <c:v>3.6699585287312471</c:v>
                </c:pt>
                <c:pt idx="76">
                  <c:v>3.6553057746349209</c:v>
                </c:pt>
                <c:pt idx="77">
                  <c:v>3.6411938066195977</c:v>
                </c:pt>
                <c:pt idx="78">
                  <c:v>3.6266767281079195</c:v>
                </c:pt>
                <c:pt idx="79">
                  <c:v>3.6122257679708758</c:v>
                </c:pt>
                <c:pt idx="80">
                  <c:v>3.5983025957753938</c:v>
                </c:pt>
              </c:numCache>
            </c:numRef>
          </c:yVal>
          <c:smooth val="1"/>
        </c:ser>
        <c:ser>
          <c:idx val="6"/>
          <c:order val="6"/>
          <c:spPr>
            <a:ln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SensFracLenght!$D$26:$D$106</c:f>
              <c:numCache>
                <c:formatCode>0.0</c:formatCode>
                <c:ptCount val="81"/>
                <c:pt idx="0">
                  <c:v>31</c:v>
                </c:pt>
                <c:pt idx="1">
                  <c:v>59</c:v>
                </c:pt>
                <c:pt idx="2">
                  <c:v>90</c:v>
                </c:pt>
                <c:pt idx="3">
                  <c:v>120</c:v>
                </c:pt>
                <c:pt idx="4">
                  <c:v>151</c:v>
                </c:pt>
                <c:pt idx="5">
                  <c:v>181</c:v>
                </c:pt>
                <c:pt idx="6">
                  <c:v>212</c:v>
                </c:pt>
                <c:pt idx="7">
                  <c:v>243</c:v>
                </c:pt>
                <c:pt idx="8">
                  <c:v>273</c:v>
                </c:pt>
                <c:pt idx="9">
                  <c:v>304</c:v>
                </c:pt>
                <c:pt idx="10">
                  <c:v>334</c:v>
                </c:pt>
                <c:pt idx="11">
                  <c:v>365</c:v>
                </c:pt>
                <c:pt idx="12">
                  <c:v>396</c:v>
                </c:pt>
                <c:pt idx="13">
                  <c:v>424</c:v>
                </c:pt>
                <c:pt idx="14">
                  <c:v>455</c:v>
                </c:pt>
                <c:pt idx="15">
                  <c:v>485</c:v>
                </c:pt>
                <c:pt idx="16">
                  <c:v>516</c:v>
                </c:pt>
                <c:pt idx="17">
                  <c:v>546</c:v>
                </c:pt>
                <c:pt idx="18">
                  <c:v>577</c:v>
                </c:pt>
                <c:pt idx="19">
                  <c:v>608</c:v>
                </c:pt>
                <c:pt idx="20">
                  <c:v>638</c:v>
                </c:pt>
                <c:pt idx="21">
                  <c:v>669</c:v>
                </c:pt>
                <c:pt idx="22">
                  <c:v>699</c:v>
                </c:pt>
                <c:pt idx="23">
                  <c:v>730</c:v>
                </c:pt>
                <c:pt idx="24">
                  <c:v>761</c:v>
                </c:pt>
                <c:pt idx="25">
                  <c:v>789</c:v>
                </c:pt>
                <c:pt idx="26">
                  <c:v>820</c:v>
                </c:pt>
                <c:pt idx="27">
                  <c:v>850</c:v>
                </c:pt>
                <c:pt idx="28">
                  <c:v>881</c:v>
                </c:pt>
                <c:pt idx="29">
                  <c:v>911</c:v>
                </c:pt>
                <c:pt idx="30">
                  <c:v>942</c:v>
                </c:pt>
                <c:pt idx="31">
                  <c:v>973</c:v>
                </c:pt>
                <c:pt idx="32">
                  <c:v>1003</c:v>
                </c:pt>
                <c:pt idx="33">
                  <c:v>1034</c:v>
                </c:pt>
                <c:pt idx="34">
                  <c:v>1064</c:v>
                </c:pt>
                <c:pt idx="35">
                  <c:v>1095</c:v>
                </c:pt>
                <c:pt idx="36">
                  <c:v>1126</c:v>
                </c:pt>
                <c:pt idx="37">
                  <c:v>1155</c:v>
                </c:pt>
                <c:pt idx="38">
                  <c:v>1186</c:v>
                </c:pt>
                <c:pt idx="39">
                  <c:v>1216</c:v>
                </c:pt>
                <c:pt idx="40">
                  <c:v>1247</c:v>
                </c:pt>
                <c:pt idx="41">
                  <c:v>1277</c:v>
                </c:pt>
                <c:pt idx="42">
                  <c:v>1308</c:v>
                </c:pt>
                <c:pt idx="43">
                  <c:v>1339</c:v>
                </c:pt>
                <c:pt idx="44">
                  <c:v>1369</c:v>
                </c:pt>
                <c:pt idx="45">
                  <c:v>1400</c:v>
                </c:pt>
                <c:pt idx="46">
                  <c:v>1430</c:v>
                </c:pt>
                <c:pt idx="47">
                  <c:v>1461</c:v>
                </c:pt>
                <c:pt idx="48">
                  <c:v>1492</c:v>
                </c:pt>
                <c:pt idx="49">
                  <c:v>1520</c:v>
                </c:pt>
                <c:pt idx="50">
                  <c:v>1551</c:v>
                </c:pt>
                <c:pt idx="51">
                  <c:v>1581</c:v>
                </c:pt>
                <c:pt idx="52">
                  <c:v>1612</c:v>
                </c:pt>
                <c:pt idx="53">
                  <c:v>1642</c:v>
                </c:pt>
                <c:pt idx="54">
                  <c:v>1673</c:v>
                </c:pt>
                <c:pt idx="55">
                  <c:v>1704</c:v>
                </c:pt>
                <c:pt idx="56">
                  <c:v>1734</c:v>
                </c:pt>
                <c:pt idx="57">
                  <c:v>1765</c:v>
                </c:pt>
                <c:pt idx="58">
                  <c:v>1795</c:v>
                </c:pt>
                <c:pt idx="59">
                  <c:v>1826</c:v>
                </c:pt>
                <c:pt idx="60">
                  <c:v>1857</c:v>
                </c:pt>
                <c:pt idx="61">
                  <c:v>1885</c:v>
                </c:pt>
                <c:pt idx="62">
                  <c:v>1916</c:v>
                </c:pt>
                <c:pt idx="63">
                  <c:v>1946</c:v>
                </c:pt>
                <c:pt idx="64">
                  <c:v>1977</c:v>
                </c:pt>
                <c:pt idx="65">
                  <c:v>2007</c:v>
                </c:pt>
                <c:pt idx="66">
                  <c:v>2038</c:v>
                </c:pt>
                <c:pt idx="67">
                  <c:v>2069</c:v>
                </c:pt>
                <c:pt idx="68">
                  <c:v>2099</c:v>
                </c:pt>
                <c:pt idx="69">
                  <c:v>2130</c:v>
                </c:pt>
                <c:pt idx="70">
                  <c:v>2160</c:v>
                </c:pt>
                <c:pt idx="71">
                  <c:v>2191</c:v>
                </c:pt>
                <c:pt idx="72">
                  <c:v>2222</c:v>
                </c:pt>
                <c:pt idx="73">
                  <c:v>2250</c:v>
                </c:pt>
                <c:pt idx="74">
                  <c:v>2281</c:v>
                </c:pt>
                <c:pt idx="75">
                  <c:v>2311</c:v>
                </c:pt>
                <c:pt idx="76">
                  <c:v>2342</c:v>
                </c:pt>
                <c:pt idx="77">
                  <c:v>2372</c:v>
                </c:pt>
                <c:pt idx="78">
                  <c:v>2403</c:v>
                </c:pt>
                <c:pt idx="79">
                  <c:v>2434</c:v>
                </c:pt>
                <c:pt idx="80">
                  <c:v>2464</c:v>
                </c:pt>
              </c:numCache>
            </c:numRef>
          </c:xVal>
          <c:yVal>
            <c:numRef>
              <c:f>SensFracLenght!$K$26:$K$106</c:f>
              <c:numCache>
                <c:formatCode>0.0</c:formatCode>
                <c:ptCount val="81"/>
                <c:pt idx="0">
                  <c:v>16.018181173567609</c:v>
                </c:pt>
                <c:pt idx="1">
                  <c:v>12.666579224413878</c:v>
                </c:pt>
                <c:pt idx="2">
                  <c:v>10.996110495073086</c:v>
                </c:pt>
                <c:pt idx="3">
                  <c:v>10.063680594025252</c:v>
                </c:pt>
                <c:pt idx="4">
                  <c:v>9.4173396071254771</c:v>
                </c:pt>
                <c:pt idx="5">
                  <c:v>8.9596025777802559</c:v>
                </c:pt>
                <c:pt idx="6">
                  <c:v>8.5926049463085601</c:v>
                </c:pt>
                <c:pt idx="7">
                  <c:v>8.2973574663003458</c:v>
                </c:pt>
                <c:pt idx="8">
                  <c:v>8.0595656442716148</c:v>
                </c:pt>
                <c:pt idx="9">
                  <c:v>7.8507646934967985</c:v>
                </c:pt>
                <c:pt idx="10">
                  <c:v>7.6759750744768924</c:v>
                </c:pt>
                <c:pt idx="11">
                  <c:v>7.5172996033248856</c:v>
                </c:pt>
                <c:pt idx="12">
                  <c:v>7.3766651009052078</c:v>
                </c:pt>
                <c:pt idx="13">
                  <c:v>7.2622718991798916</c:v>
                </c:pt>
                <c:pt idx="14">
                  <c:v>7.1473169827929013</c:v>
                </c:pt>
                <c:pt idx="15">
                  <c:v>7.0459608729333763</c:v>
                </c:pt>
                <c:pt idx="16">
                  <c:v>6.9497976735918696</c:v>
                </c:pt>
                <c:pt idx="17">
                  <c:v>6.8638487828817265</c:v>
                </c:pt>
                <c:pt idx="18">
                  <c:v>6.7813513156463543</c:v>
                </c:pt>
                <c:pt idx="19">
                  <c:v>6.7044053065520819</c:v>
                </c:pt>
                <c:pt idx="20">
                  <c:v>6.6345903753787239</c:v>
                </c:pt>
                <c:pt idx="21">
                  <c:v>6.5665376619608216</c:v>
                </c:pt>
                <c:pt idx="22">
                  <c:v>6.5042443664648459</c:v>
                </c:pt>
                <c:pt idx="23">
                  <c:v>6.4430937278322293</c:v>
                </c:pt>
                <c:pt idx="24">
                  <c:v>6.3848384316547628</c:v>
                </c:pt>
                <c:pt idx="25">
                  <c:v>6.3344426252584611</c:v>
                </c:pt>
                <c:pt idx="26">
                  <c:v>6.2808095282857117</c:v>
                </c:pt>
                <c:pt idx="27">
                  <c:v>6.2308640279534062</c:v>
                </c:pt>
                <c:pt idx="28">
                  <c:v>6.1811084048740979</c:v>
                </c:pt>
                <c:pt idx="29">
                  <c:v>6.1345232512536194</c:v>
                </c:pt>
                <c:pt idx="30">
                  <c:v>6.0878648685972285</c:v>
                </c:pt>
                <c:pt idx="31">
                  <c:v>6.0425603098972918</c:v>
                </c:pt>
                <c:pt idx="32">
                  <c:v>5.9999010315004613</c:v>
                </c:pt>
                <c:pt idx="33">
                  <c:v>5.9569035583528622</c:v>
                </c:pt>
                <c:pt idx="34">
                  <c:v>5.9162736088893331</c:v>
                </c:pt>
                <c:pt idx="35">
                  <c:v>5.8752101987180403</c:v>
                </c:pt>
                <c:pt idx="36">
                  <c:v>5.8350174612482455</c:v>
                </c:pt>
                <c:pt idx="37">
                  <c:v>5.7981203243172441</c:v>
                </c:pt>
                <c:pt idx="38">
                  <c:v>5.7594051088735094</c:v>
                </c:pt>
                <c:pt idx="39">
                  <c:v>5.7225704639949537</c:v>
                </c:pt>
                <c:pt idx="40">
                  <c:v>5.685128702598103</c:v>
                </c:pt>
                <c:pt idx="41">
                  <c:v>5.6494518373534701</c:v>
                </c:pt>
                <c:pt idx="42">
                  <c:v>5.6131237161945</c:v>
                </c:pt>
                <c:pt idx="43">
                  <c:v>5.5773038507624397</c:v>
                </c:pt>
                <c:pt idx="44">
                  <c:v>5.5430999230928828</c:v>
                </c:pt>
                <c:pt idx="45">
                  <c:v>5.508192481732336</c:v>
                </c:pt>
                <c:pt idx="46">
                  <c:v>5.474835583992788</c:v>
                </c:pt>
                <c:pt idx="47">
                  <c:v>5.4407405788932151</c:v>
                </c:pt>
                <c:pt idx="48">
                  <c:v>5.4070305561111178</c:v>
                </c:pt>
                <c:pt idx="49">
                  <c:v>5.3769049603002079</c:v>
                </c:pt>
                <c:pt idx="50">
                  <c:v>5.3438670827905099</c:v>
                </c:pt>
                <c:pt idx="51">
                  <c:v>5.3122096043650542</c:v>
                </c:pt>
                <c:pt idx="52">
                  <c:v>5.2798190754847099</c:v>
                </c:pt>
                <c:pt idx="53">
                  <c:v>5.2487568368755824</c:v>
                </c:pt>
                <c:pt idx="54">
                  <c:v>5.2169365503789349</c:v>
                </c:pt>
                <c:pt idx="55">
                  <c:v>5.1854000426940594</c:v>
                </c:pt>
                <c:pt idx="56">
                  <c:v>5.1551418895781937</c:v>
                </c:pt>
                <c:pt idx="57">
                  <c:v>5.1241275063644443</c:v>
                </c:pt>
                <c:pt idx="58">
                  <c:v>5.0943560675072659</c:v>
                </c:pt>
                <c:pt idx="59">
                  <c:v>5.0638174690350981</c:v>
                </c:pt>
                <c:pt idx="60">
                  <c:v>5.0335399570657664</c:v>
                </c:pt>
                <c:pt idx="61">
                  <c:v>5.006386760008553</c:v>
                </c:pt>
                <c:pt idx="62">
                  <c:v>4.9765341731941568</c:v>
                </c:pt>
                <c:pt idx="63">
                  <c:v>4.9478594941239935</c:v>
                </c:pt>
                <c:pt idx="64">
                  <c:v>4.9184254711470841</c:v>
                </c:pt>
                <c:pt idx="65">
                  <c:v>4.8901586673969195</c:v>
                </c:pt>
                <c:pt idx="66">
                  <c:v>4.8611320530732476</c:v>
                </c:pt>
                <c:pt idx="67">
                  <c:v>4.8323218880858079</c:v>
                </c:pt>
                <c:pt idx="68">
                  <c:v>4.8046221137156762</c:v>
                </c:pt>
                <c:pt idx="69">
                  <c:v>4.7761945879885426</c:v>
                </c:pt>
                <c:pt idx="70">
                  <c:v>4.7488523421530875</c:v>
                </c:pt>
                <c:pt idx="71">
                  <c:v>4.7208019054265336</c:v>
                </c:pt>
                <c:pt idx="72">
                  <c:v>4.6929215733147016</c:v>
                </c:pt>
                <c:pt idx="73">
                  <c:v>4.6678974776884052</c:v>
                </c:pt>
                <c:pt idx="74">
                  <c:v>4.6403635693952534</c:v>
                </c:pt>
                <c:pt idx="75">
                  <c:v>4.6138872750111828</c:v>
                </c:pt>
                <c:pt idx="76">
                  <c:v>4.5867014469239402</c:v>
                </c:pt>
                <c:pt idx="77">
                  <c:v>4.5605510748791751</c:v>
                </c:pt>
                <c:pt idx="78">
                  <c:v>4.5336979752824424</c:v>
                </c:pt>
                <c:pt idx="79">
                  <c:v>4.5070170005939314</c:v>
                </c:pt>
                <c:pt idx="80">
                  <c:v>4.4813511324767008</c:v>
                </c:pt>
              </c:numCache>
            </c:numRef>
          </c:yVal>
          <c:smooth val="1"/>
        </c:ser>
        <c:axId val="150051840"/>
        <c:axId val="150062208"/>
      </c:scatterChart>
      <c:valAx>
        <c:axId val="150051840"/>
        <c:scaling>
          <c:orientation val="minMax"/>
          <c:max val="2500"/>
          <c:min val="1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days</a:t>
                </a:r>
              </a:p>
            </c:rich>
          </c:tx>
          <c:layout/>
        </c:title>
        <c:numFmt formatCode="General" sourceLinked="0"/>
        <c:tickLblPos val="nextTo"/>
        <c:crossAx val="150062208"/>
        <c:crossesAt val="1"/>
        <c:crossBetween val="midCat"/>
      </c:valAx>
      <c:valAx>
        <c:axId val="150062208"/>
        <c:scaling>
          <c:logBase val="10"/>
          <c:orientation val="minMax"/>
          <c:max val="100"/>
          <c:min val="1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Oil Rate (bopd)</a:t>
                </a:r>
              </a:p>
            </c:rich>
          </c:tx>
          <c:layout>
            <c:manualLayout>
              <c:xMode val="edge"/>
              <c:yMode val="edge"/>
              <c:x val="2.8463703117442732E-3"/>
              <c:y val="0.34909108206026684"/>
            </c:manualLayout>
          </c:layout>
        </c:title>
        <c:numFmt formatCode="0" sourceLinked="0"/>
        <c:minorTickMark val="in"/>
        <c:tickLblPos val="nextTo"/>
        <c:crossAx val="150051840"/>
        <c:crossesAt val="0"/>
        <c:crossBetween val="midCat"/>
      </c:valAx>
      <c:spPr>
        <a:ln>
          <a:solidFill>
            <a:schemeClr val="bg1">
              <a:lumMod val="50000"/>
            </a:schemeClr>
          </a:solidFill>
        </a:ln>
      </c:spPr>
    </c:plotArea>
    <c:plotVisOnly val="1"/>
  </c:chart>
  <c:printSettings>
    <c:headerFooter/>
    <c:pageMargins b="0.75000000000000533" l="0.70000000000000062" r="0.70000000000000062" t="0.750000000000005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>
                <a:solidFill>
                  <a:srgbClr val="FF0000"/>
                </a:solidFill>
              </a:defRPr>
            </a:pPr>
            <a:r>
              <a:rPr lang="en-US" sz="1100">
                <a:solidFill>
                  <a:srgbClr val="FF0000"/>
                </a:solidFill>
              </a:rPr>
              <a:t>Model Geometry &amp; Well Location</a:t>
            </a:r>
          </a:p>
          <a:p>
            <a:pPr>
              <a:defRPr sz="1000">
                <a:solidFill>
                  <a:srgbClr val="FF0000"/>
                </a:solidFill>
              </a:defRPr>
            </a:pPr>
            <a:r>
              <a:rPr lang="en-US" sz="1000">
                <a:solidFill>
                  <a:srgbClr val="FF0000"/>
                </a:solidFill>
              </a:rPr>
              <a:t>Area: 80Acres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v>Res Geometry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SensFracLenght!$W$9:$W$13</c:f>
              <c:numCache>
                <c:formatCode>General</c:formatCode>
                <c:ptCount val="5"/>
                <c:pt idx="0">
                  <c:v>0</c:v>
                </c:pt>
                <c:pt idx="1">
                  <c:v>2640</c:v>
                </c:pt>
                <c:pt idx="2">
                  <c:v>2640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SensFracLenght!$X$9:$X$13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2640</c:v>
                </c:pt>
                <c:pt idx="3">
                  <c:v>2640</c:v>
                </c:pt>
                <c:pt idx="4">
                  <c:v>0</c:v>
                </c:pt>
              </c:numCache>
            </c:numRef>
          </c:yVal>
        </c:ser>
        <c:ser>
          <c:idx val="1"/>
          <c:order val="1"/>
          <c:tx>
            <c:v>Well Location</c:v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rgbClr val="00FF00"/>
              </a:solidFill>
              <a:ln>
                <a:noFill/>
              </a:ln>
            </c:spPr>
          </c:marker>
          <c:xVal>
            <c:numRef>
              <c:f>SensFracLenght!$Y$9</c:f>
              <c:numCache>
                <c:formatCode>General</c:formatCode>
                <c:ptCount val="1"/>
                <c:pt idx="0">
                  <c:v>1320</c:v>
                </c:pt>
              </c:numCache>
            </c:numRef>
          </c:xVal>
          <c:yVal>
            <c:numRef>
              <c:f>SensFracLenght!$Z$9</c:f>
              <c:numCache>
                <c:formatCode>General</c:formatCode>
                <c:ptCount val="1"/>
                <c:pt idx="0">
                  <c:v>1320</c:v>
                </c:pt>
              </c:numCache>
            </c:numRef>
          </c:yVal>
        </c:ser>
        <c:ser>
          <c:idx val="2"/>
          <c:order val="2"/>
          <c:tx>
            <c:v>Fracture Geometry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SensFracLenght!$AA$9:$AA$10</c:f>
              <c:numCache>
                <c:formatCode>General</c:formatCode>
                <c:ptCount val="2"/>
                <c:pt idx="0">
                  <c:v>1070</c:v>
                </c:pt>
                <c:pt idx="1">
                  <c:v>1570</c:v>
                </c:pt>
              </c:numCache>
            </c:numRef>
          </c:xVal>
          <c:yVal>
            <c:numRef>
              <c:f>SensFracLenght!$AB$9:$AB$10</c:f>
              <c:numCache>
                <c:formatCode>General</c:formatCode>
                <c:ptCount val="2"/>
                <c:pt idx="0">
                  <c:v>1320</c:v>
                </c:pt>
                <c:pt idx="1">
                  <c:v>1320</c:v>
                </c:pt>
              </c:numCache>
            </c:numRef>
          </c:yVal>
        </c:ser>
        <c:axId val="154930560"/>
        <c:axId val="154989696"/>
      </c:scatterChart>
      <c:valAx>
        <c:axId val="154930560"/>
        <c:scaling>
          <c:orientation val="minMax"/>
          <c:max val="3000"/>
          <c:min val="0"/>
        </c:scaling>
        <c:axPos val="b"/>
        <c:numFmt formatCode="General" sourceLinked="1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154989696"/>
        <c:crosses val="autoZero"/>
        <c:crossBetween val="midCat"/>
      </c:valAx>
      <c:valAx>
        <c:axId val="154989696"/>
        <c:scaling>
          <c:orientation val="minMax"/>
          <c:max val="3000"/>
          <c:min val="0"/>
        </c:scaling>
        <c:axPos val="l"/>
        <c:numFmt formatCode="General" sourceLinked="1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154930560"/>
        <c:crosses val="autoZero"/>
        <c:crossBetween val="midCat"/>
      </c:valAx>
    </c:plotArea>
    <c:plotVisOnly val="1"/>
  </c:chart>
  <c:spPr>
    <a:ln>
      <a:noFill/>
    </a:ln>
  </c:spPr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1"/>
          <c:order val="0"/>
          <c:tx>
            <c:strRef>
              <c:f>SensFracLenght!$O$43</c:f>
              <c:strCache>
                <c:ptCount val="1"/>
                <c:pt idx="0">
                  <c:v>Xf=150</c:v>
                </c:pt>
              </c:strCache>
            </c:strRef>
          </c:tx>
          <c:marker>
            <c:symbol val="none"/>
          </c:marker>
          <c:xVal>
            <c:numRef>
              <c:f>SensFracLenght!$N$44:$N$58</c:f>
              <c:numCache>
                <c:formatCode>0.000</c:formatCode>
                <c:ptCount val="15"/>
                <c:pt idx="0">
                  <c:v>1.2340980408667956E-4</c:v>
                </c:pt>
                <c:pt idx="1">
                  <c:v>3.2554820892043796E-4</c:v>
                </c:pt>
                <c:pt idx="2">
                  <c:v>8.5877809397433725E-4</c:v>
                </c:pt>
                <c:pt idx="3">
                  <c:v>2.265408914814322E-3</c:v>
                </c:pt>
                <c:pt idx="4">
                  <c:v>5.9760228950059427E-3</c:v>
                </c:pt>
                <c:pt idx="5">
                  <c:v>1.5764416484854486E-2</c:v>
                </c:pt>
                <c:pt idx="6">
                  <c:v>4.1585655121173147E-2</c:v>
                </c:pt>
                <c:pt idx="7">
                  <c:v>0.10970064851551131</c:v>
                </c:pt>
                <c:pt idx="8">
                  <c:v>0.28938421793905039</c:v>
                </c:pt>
                <c:pt idx="9">
                  <c:v>0.76337949433685248</c:v>
                </c:pt>
                <c:pt idx="10">
                  <c:v>2.0137527074704749</c:v>
                </c:pt>
                <c:pt idx="11">
                  <c:v>5.3121677971811616</c:v>
                </c:pt>
                <c:pt idx="12">
                  <c:v>14.013203607733596</c:v>
                </c:pt>
                <c:pt idx="13">
                  <c:v>36.966052814822454</c:v>
                </c:pt>
                <c:pt idx="14">
                  <c:v>97.51439420705384</c:v>
                </c:pt>
              </c:numCache>
            </c:numRef>
          </c:xVal>
          <c:yVal>
            <c:numRef>
              <c:f>SensFracLenght!$O$44:$O$58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1.0000035642019529</c:v>
                </c:pt>
                <c:pt idx="13">
                  <c:v>1.0000000856955265</c:v>
                </c:pt>
                <c:pt idx="14">
                  <c:v>1.0000039939700591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SensFracLenght!$P$43</c:f>
              <c:strCache>
                <c:ptCount val="1"/>
                <c:pt idx="0">
                  <c:v>Xf=250</c:v>
                </c:pt>
              </c:strCache>
            </c:strRef>
          </c:tx>
          <c:marker>
            <c:symbol val="none"/>
          </c:marker>
          <c:xVal>
            <c:numRef>
              <c:f>SensFracLenght!$N$44:$N$58</c:f>
              <c:numCache>
                <c:formatCode>0.000</c:formatCode>
                <c:ptCount val="15"/>
                <c:pt idx="0">
                  <c:v>1.2340980408667956E-4</c:v>
                </c:pt>
                <c:pt idx="1">
                  <c:v>3.2554820892043796E-4</c:v>
                </c:pt>
                <c:pt idx="2">
                  <c:v>8.5877809397433725E-4</c:v>
                </c:pt>
                <c:pt idx="3">
                  <c:v>2.265408914814322E-3</c:v>
                </c:pt>
                <c:pt idx="4">
                  <c:v>5.9760228950059427E-3</c:v>
                </c:pt>
                <c:pt idx="5">
                  <c:v>1.5764416484854486E-2</c:v>
                </c:pt>
                <c:pt idx="6">
                  <c:v>4.1585655121173147E-2</c:v>
                </c:pt>
                <c:pt idx="7">
                  <c:v>0.10970064851551131</c:v>
                </c:pt>
                <c:pt idx="8">
                  <c:v>0.28938421793905039</c:v>
                </c:pt>
                <c:pt idx="9">
                  <c:v>0.76337949433685248</c:v>
                </c:pt>
                <c:pt idx="10">
                  <c:v>2.0137527074704749</c:v>
                </c:pt>
                <c:pt idx="11">
                  <c:v>5.3121677971811616</c:v>
                </c:pt>
                <c:pt idx="12">
                  <c:v>14.013203607733596</c:v>
                </c:pt>
                <c:pt idx="13">
                  <c:v>36.966052814822454</c:v>
                </c:pt>
                <c:pt idx="14">
                  <c:v>97.51439420705384</c:v>
                </c:pt>
              </c:numCache>
            </c:numRef>
          </c:xVal>
          <c:yVal>
            <c:numRef>
              <c:f>SensFracLenght!$P$44:$P$58</c:f>
              <c:numCache>
                <c:formatCode>0.0</c:formatCode>
                <c:ptCount val="15"/>
                <c:pt idx="0">
                  <c:v>1.6307091739684145</c:v>
                </c:pt>
                <c:pt idx="1">
                  <c:v>1.5757651858012118</c:v>
                </c:pt>
                <c:pt idx="2">
                  <c:v>1.5310218693077016</c:v>
                </c:pt>
                <c:pt idx="3">
                  <c:v>1.5036833078573151</c:v>
                </c:pt>
                <c:pt idx="4">
                  <c:v>1.4622970064406817</c:v>
                </c:pt>
                <c:pt idx="5">
                  <c:v>1.3941145403929769</c:v>
                </c:pt>
                <c:pt idx="6">
                  <c:v>1.3245728906029406</c:v>
                </c:pt>
                <c:pt idx="7">
                  <c:v>1.2655519811772273</c:v>
                </c:pt>
                <c:pt idx="8">
                  <c:v>1.2051613006659632</c:v>
                </c:pt>
                <c:pt idx="9">
                  <c:v>1.1180812868384471</c:v>
                </c:pt>
                <c:pt idx="10">
                  <c:v>1.0247393028813514</c:v>
                </c:pt>
                <c:pt idx="11">
                  <c:v>1.0002059877425997</c:v>
                </c:pt>
                <c:pt idx="12">
                  <c:v>1</c:v>
                </c:pt>
                <c:pt idx="13">
                  <c:v>1.0000006477384493</c:v>
                </c:pt>
                <c:pt idx="14">
                  <c:v>1.0000029492284437</c:v>
                </c:pt>
              </c:numCache>
            </c:numRef>
          </c:yVal>
          <c:smooth val="1"/>
        </c:ser>
        <c:ser>
          <c:idx val="3"/>
          <c:order val="2"/>
          <c:tx>
            <c:strRef>
              <c:f>SensFracLenght!$Q$43</c:f>
              <c:strCache>
                <c:ptCount val="1"/>
                <c:pt idx="0">
                  <c:v>Xf=450</c:v>
                </c:pt>
              </c:strCache>
            </c:strRef>
          </c:tx>
          <c:marker>
            <c:symbol val="none"/>
          </c:marker>
          <c:xVal>
            <c:numRef>
              <c:f>SensFracLenght!$N$44:$N$58</c:f>
              <c:numCache>
                <c:formatCode>0.000</c:formatCode>
                <c:ptCount val="15"/>
                <c:pt idx="0">
                  <c:v>1.2340980408667956E-4</c:v>
                </c:pt>
                <c:pt idx="1">
                  <c:v>3.2554820892043796E-4</c:v>
                </c:pt>
                <c:pt idx="2">
                  <c:v>8.5877809397433725E-4</c:v>
                </c:pt>
                <c:pt idx="3">
                  <c:v>2.265408914814322E-3</c:v>
                </c:pt>
                <c:pt idx="4">
                  <c:v>5.9760228950059427E-3</c:v>
                </c:pt>
                <c:pt idx="5">
                  <c:v>1.5764416484854486E-2</c:v>
                </c:pt>
                <c:pt idx="6">
                  <c:v>4.1585655121173147E-2</c:v>
                </c:pt>
                <c:pt idx="7">
                  <c:v>0.10970064851551131</c:v>
                </c:pt>
                <c:pt idx="8">
                  <c:v>0.28938421793905039</c:v>
                </c:pt>
                <c:pt idx="9">
                  <c:v>0.76337949433685248</c:v>
                </c:pt>
                <c:pt idx="10">
                  <c:v>2.0137527074704749</c:v>
                </c:pt>
                <c:pt idx="11">
                  <c:v>5.3121677971811616</c:v>
                </c:pt>
                <c:pt idx="12">
                  <c:v>14.013203607733596</c:v>
                </c:pt>
                <c:pt idx="13">
                  <c:v>36.966052814822454</c:v>
                </c:pt>
                <c:pt idx="14">
                  <c:v>97.51439420705384</c:v>
                </c:pt>
              </c:numCache>
            </c:numRef>
          </c:xVal>
          <c:yVal>
            <c:numRef>
              <c:f>SensFracLenght!$Q$44:$Q$58</c:f>
              <c:numCache>
                <c:formatCode>0.0</c:formatCode>
                <c:ptCount val="15"/>
                <c:pt idx="0">
                  <c:v>2.9286118984781253</c:v>
                </c:pt>
                <c:pt idx="1">
                  <c:v>2.7772764312371434</c:v>
                </c:pt>
                <c:pt idx="2">
                  <c:v>2.5975137075903878</c:v>
                </c:pt>
                <c:pt idx="3">
                  <c:v>2.465197146007283</c:v>
                </c:pt>
                <c:pt idx="4">
                  <c:v>2.344938037728201</c:v>
                </c:pt>
                <c:pt idx="5">
                  <c:v>2.1703777706084706</c:v>
                </c:pt>
                <c:pt idx="6">
                  <c:v>1.9566171963628849</c:v>
                </c:pt>
                <c:pt idx="7">
                  <c:v>1.7563977830983253</c:v>
                </c:pt>
                <c:pt idx="8">
                  <c:v>1.542586302732645</c:v>
                </c:pt>
                <c:pt idx="9">
                  <c:v>1.2633901081505901</c:v>
                </c:pt>
                <c:pt idx="10">
                  <c:v>1.0396380524584465</c:v>
                </c:pt>
                <c:pt idx="11">
                  <c:v>1.0002507849016302</c:v>
                </c:pt>
                <c:pt idx="12">
                  <c:v>1.0000004884188982</c:v>
                </c:pt>
                <c:pt idx="13">
                  <c:v>1.000000620203443</c:v>
                </c:pt>
                <c:pt idx="14">
                  <c:v>1.0000017410337565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SensFracLenght!$R$43</c:f>
              <c:strCache>
                <c:ptCount val="1"/>
                <c:pt idx="0">
                  <c:v>Xf=650</c:v>
                </c:pt>
              </c:strCache>
            </c:strRef>
          </c:tx>
          <c:marker>
            <c:symbol val="none"/>
          </c:marker>
          <c:xVal>
            <c:numRef>
              <c:f>SensFracLenght!$N$44:$N$58</c:f>
              <c:numCache>
                <c:formatCode>0.000</c:formatCode>
                <c:ptCount val="15"/>
                <c:pt idx="0">
                  <c:v>1.2340980408667956E-4</c:v>
                </c:pt>
                <c:pt idx="1">
                  <c:v>3.2554820892043796E-4</c:v>
                </c:pt>
                <c:pt idx="2">
                  <c:v>8.5877809397433725E-4</c:v>
                </c:pt>
                <c:pt idx="3">
                  <c:v>2.265408914814322E-3</c:v>
                </c:pt>
                <c:pt idx="4">
                  <c:v>5.9760228950059427E-3</c:v>
                </c:pt>
                <c:pt idx="5">
                  <c:v>1.5764416484854486E-2</c:v>
                </c:pt>
                <c:pt idx="6">
                  <c:v>4.1585655121173147E-2</c:v>
                </c:pt>
                <c:pt idx="7">
                  <c:v>0.10970064851551131</c:v>
                </c:pt>
                <c:pt idx="8">
                  <c:v>0.28938421793905039</c:v>
                </c:pt>
                <c:pt idx="9">
                  <c:v>0.76337949433685248</c:v>
                </c:pt>
                <c:pt idx="10">
                  <c:v>2.0137527074704749</c:v>
                </c:pt>
                <c:pt idx="11">
                  <c:v>5.3121677971811616</c:v>
                </c:pt>
                <c:pt idx="12">
                  <c:v>14.013203607733596</c:v>
                </c:pt>
                <c:pt idx="13">
                  <c:v>36.966052814822454</c:v>
                </c:pt>
                <c:pt idx="14">
                  <c:v>97.51439420705384</c:v>
                </c:pt>
              </c:numCache>
            </c:numRef>
          </c:xVal>
          <c:yVal>
            <c:numRef>
              <c:f>SensFracLenght!$R$44:$R$58</c:f>
              <c:numCache>
                <c:formatCode>0.0</c:formatCode>
                <c:ptCount val="15"/>
                <c:pt idx="0">
                  <c:v>4.2302798852397583</c:v>
                </c:pt>
                <c:pt idx="1">
                  <c:v>4.0073996592108703</c:v>
                </c:pt>
                <c:pt idx="2">
                  <c:v>3.703932649976871</c:v>
                </c:pt>
                <c:pt idx="3">
                  <c:v>3.4296085241639753</c:v>
                </c:pt>
                <c:pt idx="4">
                  <c:v>3.1923262905454082</c:v>
                </c:pt>
                <c:pt idx="5">
                  <c:v>2.9161887866634637</c:v>
                </c:pt>
                <c:pt idx="6">
                  <c:v>2.5808767506443542</c:v>
                </c:pt>
                <c:pt idx="7">
                  <c:v>2.223548410276698</c:v>
                </c:pt>
                <c:pt idx="8">
                  <c:v>1.8182630368017083</c:v>
                </c:pt>
                <c:pt idx="9">
                  <c:v>1.3419374072470598</c:v>
                </c:pt>
                <c:pt idx="10">
                  <c:v>1.0423428191632369</c:v>
                </c:pt>
                <c:pt idx="11">
                  <c:v>1.0002525178458002</c:v>
                </c:pt>
                <c:pt idx="12">
                  <c:v>1.0000039683883586</c:v>
                </c:pt>
                <c:pt idx="13">
                  <c:v>1.0000001660883318</c:v>
                </c:pt>
                <c:pt idx="14">
                  <c:v>1.0000009658881919</c:v>
                </c:pt>
              </c:numCache>
            </c:numRef>
          </c:yVal>
          <c:smooth val="1"/>
        </c:ser>
        <c:ser>
          <c:idx val="5"/>
          <c:order val="4"/>
          <c:tx>
            <c:strRef>
              <c:f>SensFracLenght!$S$43</c:f>
              <c:strCache>
                <c:ptCount val="1"/>
                <c:pt idx="0">
                  <c:v>Xf=850</c:v>
                </c:pt>
              </c:strCache>
            </c:strRef>
          </c:tx>
          <c:marker>
            <c:symbol val="none"/>
          </c:marker>
          <c:xVal>
            <c:numRef>
              <c:f>SensFracLenght!$N$44:$N$58</c:f>
              <c:numCache>
                <c:formatCode>0.000</c:formatCode>
                <c:ptCount val="15"/>
                <c:pt idx="0">
                  <c:v>1.2340980408667956E-4</c:v>
                </c:pt>
                <c:pt idx="1">
                  <c:v>3.2554820892043796E-4</c:v>
                </c:pt>
                <c:pt idx="2">
                  <c:v>8.5877809397433725E-4</c:v>
                </c:pt>
                <c:pt idx="3">
                  <c:v>2.265408914814322E-3</c:v>
                </c:pt>
                <c:pt idx="4">
                  <c:v>5.9760228950059427E-3</c:v>
                </c:pt>
                <c:pt idx="5">
                  <c:v>1.5764416484854486E-2</c:v>
                </c:pt>
                <c:pt idx="6">
                  <c:v>4.1585655121173147E-2</c:v>
                </c:pt>
                <c:pt idx="7">
                  <c:v>0.10970064851551131</c:v>
                </c:pt>
                <c:pt idx="8">
                  <c:v>0.28938421793905039</c:v>
                </c:pt>
                <c:pt idx="9">
                  <c:v>0.76337949433685248</c:v>
                </c:pt>
                <c:pt idx="10">
                  <c:v>2.0137527074704749</c:v>
                </c:pt>
                <c:pt idx="11">
                  <c:v>5.3121677971811616</c:v>
                </c:pt>
                <c:pt idx="12">
                  <c:v>14.013203607733596</c:v>
                </c:pt>
                <c:pt idx="13">
                  <c:v>36.966052814822454</c:v>
                </c:pt>
                <c:pt idx="14">
                  <c:v>97.51439420705384</c:v>
                </c:pt>
              </c:numCache>
            </c:numRef>
          </c:xVal>
          <c:yVal>
            <c:numRef>
              <c:f>SensFracLenght!$S$44:$S$58</c:f>
              <c:numCache>
                <c:formatCode>0.0</c:formatCode>
                <c:ptCount val="15"/>
                <c:pt idx="0">
                  <c:v>5.5319043166370578</c:v>
                </c:pt>
                <c:pt idx="1">
                  <c:v>5.2403439815695831</c:v>
                </c:pt>
                <c:pt idx="2">
                  <c:v>4.831753185868628</c:v>
                </c:pt>
                <c:pt idx="3">
                  <c:v>4.4178429176126333</c:v>
                </c:pt>
                <c:pt idx="4">
                  <c:v>4.036681884175966</c:v>
                </c:pt>
                <c:pt idx="5">
                  <c:v>3.6369770341344889</c:v>
                </c:pt>
                <c:pt idx="6">
                  <c:v>3.1827822112767308</c:v>
                </c:pt>
                <c:pt idx="7">
                  <c:v>2.6518159184704762</c:v>
                </c:pt>
                <c:pt idx="8">
                  <c:v>2.0308135162114564</c:v>
                </c:pt>
                <c:pt idx="9">
                  <c:v>1.3806754357229674</c:v>
                </c:pt>
                <c:pt idx="10">
                  <c:v>1.0427519310508866</c:v>
                </c:pt>
                <c:pt idx="11">
                  <c:v>1.000246391394682</c:v>
                </c:pt>
                <c:pt idx="12">
                  <c:v>1.0000062660450293</c:v>
                </c:pt>
                <c:pt idx="13">
                  <c:v>1.0000000343288777</c:v>
                </c:pt>
                <c:pt idx="14">
                  <c:v>1.0000002547093845</c:v>
                </c:pt>
              </c:numCache>
            </c:numRef>
          </c:yVal>
          <c:smooth val="1"/>
        </c:ser>
        <c:ser>
          <c:idx val="6"/>
          <c:order val="5"/>
          <c:tx>
            <c:strRef>
              <c:f>SensFracLenght!$T$43</c:f>
              <c:strCache>
                <c:ptCount val="1"/>
                <c:pt idx="0">
                  <c:v>Xf=1050</c:v>
                </c:pt>
              </c:strCache>
            </c:strRef>
          </c:tx>
          <c:marker>
            <c:symbol val="none"/>
          </c:marker>
          <c:xVal>
            <c:numRef>
              <c:f>SensFracLenght!$N$44:$N$58</c:f>
              <c:numCache>
                <c:formatCode>0.000</c:formatCode>
                <c:ptCount val="15"/>
                <c:pt idx="0">
                  <c:v>1.2340980408667956E-4</c:v>
                </c:pt>
                <c:pt idx="1">
                  <c:v>3.2554820892043796E-4</c:v>
                </c:pt>
                <c:pt idx="2">
                  <c:v>8.5877809397433725E-4</c:v>
                </c:pt>
                <c:pt idx="3">
                  <c:v>2.265408914814322E-3</c:v>
                </c:pt>
                <c:pt idx="4">
                  <c:v>5.9760228950059427E-3</c:v>
                </c:pt>
                <c:pt idx="5">
                  <c:v>1.5764416484854486E-2</c:v>
                </c:pt>
                <c:pt idx="6">
                  <c:v>4.1585655121173147E-2</c:v>
                </c:pt>
                <c:pt idx="7">
                  <c:v>0.10970064851551131</c:v>
                </c:pt>
                <c:pt idx="8">
                  <c:v>0.28938421793905039</c:v>
                </c:pt>
                <c:pt idx="9">
                  <c:v>0.76337949433685248</c:v>
                </c:pt>
                <c:pt idx="10">
                  <c:v>2.0137527074704749</c:v>
                </c:pt>
                <c:pt idx="11">
                  <c:v>5.3121677971811616</c:v>
                </c:pt>
                <c:pt idx="12">
                  <c:v>14.013203607733596</c:v>
                </c:pt>
                <c:pt idx="13">
                  <c:v>36.966052814822454</c:v>
                </c:pt>
                <c:pt idx="14">
                  <c:v>97.51439420705384</c:v>
                </c:pt>
              </c:numCache>
            </c:numRef>
          </c:xVal>
          <c:yVal>
            <c:numRef>
              <c:f>SensFracLenght!$T$44:$T$58</c:f>
              <c:numCache>
                <c:formatCode>0.0</c:formatCode>
                <c:ptCount val="15"/>
                <c:pt idx="0">
                  <c:v>6.833528926363913</c:v>
                </c:pt>
                <c:pt idx="1">
                  <c:v>6.4733646096420294</c:v>
                </c:pt>
                <c:pt idx="2">
                  <c:v>5.9677201094668151</c:v>
                </c:pt>
                <c:pt idx="3">
                  <c:v>5.426802346753024</c:v>
                </c:pt>
                <c:pt idx="4">
                  <c:v>4.8906553384909417</c:v>
                </c:pt>
                <c:pt idx="5">
                  <c:v>4.344951998473781</c:v>
                </c:pt>
                <c:pt idx="6">
                  <c:v>3.723929117661096</c:v>
                </c:pt>
                <c:pt idx="7">
                  <c:v>2.9869605526524863</c:v>
                </c:pt>
                <c:pt idx="8">
                  <c:v>2.1667054248597646</c:v>
                </c:pt>
                <c:pt idx="9">
                  <c:v>1.3965822324278618</c:v>
                </c:pt>
                <c:pt idx="10">
                  <c:v>1.0428114065383116</c:v>
                </c:pt>
                <c:pt idx="11">
                  <c:v>1.0002429251674825</c:v>
                </c:pt>
                <c:pt idx="12">
                  <c:v>1.0000075193502123</c:v>
                </c:pt>
                <c:pt idx="13">
                  <c:v>1.0000000145820829</c:v>
                </c:pt>
                <c:pt idx="14">
                  <c:v>1.0000001275933812</c:v>
                </c:pt>
              </c:numCache>
            </c:numRef>
          </c:yVal>
          <c:smooth val="1"/>
        </c:ser>
        <c:ser>
          <c:idx val="0"/>
          <c:order val="6"/>
          <c:tx>
            <c:strRef>
              <c:f>SensFracLenght!$U$43</c:f>
              <c:strCache>
                <c:ptCount val="1"/>
                <c:pt idx="0">
                  <c:v>Xf=1250</c:v>
                </c:pt>
              </c:strCache>
            </c:strRef>
          </c:tx>
          <c:marker>
            <c:symbol val="none"/>
          </c:marker>
          <c:xVal>
            <c:numRef>
              <c:f>SensFracLenght!$N$44:$N$58</c:f>
              <c:numCache>
                <c:formatCode>0.000</c:formatCode>
                <c:ptCount val="15"/>
                <c:pt idx="0">
                  <c:v>1.2340980408667956E-4</c:v>
                </c:pt>
                <c:pt idx="1">
                  <c:v>3.2554820892043796E-4</c:v>
                </c:pt>
                <c:pt idx="2">
                  <c:v>8.5877809397433725E-4</c:v>
                </c:pt>
                <c:pt idx="3">
                  <c:v>2.265408914814322E-3</c:v>
                </c:pt>
                <c:pt idx="4">
                  <c:v>5.9760228950059427E-3</c:v>
                </c:pt>
                <c:pt idx="5">
                  <c:v>1.5764416484854486E-2</c:v>
                </c:pt>
                <c:pt idx="6">
                  <c:v>4.1585655121173147E-2</c:v>
                </c:pt>
                <c:pt idx="7">
                  <c:v>0.10970064851551131</c:v>
                </c:pt>
                <c:pt idx="8">
                  <c:v>0.28938421793905039</c:v>
                </c:pt>
                <c:pt idx="9">
                  <c:v>0.76337949433685248</c:v>
                </c:pt>
                <c:pt idx="10">
                  <c:v>2.0137527074704749</c:v>
                </c:pt>
                <c:pt idx="11">
                  <c:v>5.3121677971811616</c:v>
                </c:pt>
                <c:pt idx="12">
                  <c:v>14.013203607733596</c:v>
                </c:pt>
                <c:pt idx="13">
                  <c:v>36.966052814822454</c:v>
                </c:pt>
                <c:pt idx="14">
                  <c:v>97.51439420705384</c:v>
                </c:pt>
              </c:numCache>
            </c:numRef>
          </c:xVal>
          <c:yVal>
            <c:numRef>
              <c:f>SensFracLenght!$U$44:$U$58</c:f>
              <c:numCache>
                <c:formatCode>0.0</c:formatCode>
                <c:ptCount val="15"/>
                <c:pt idx="0">
                  <c:v>8.1351533179247539</c:v>
                </c:pt>
                <c:pt idx="1">
                  <c:v>7.7063865900560975</c:v>
                </c:pt>
                <c:pt idx="2">
                  <c:v>7.105204524425992</c:v>
                </c:pt>
                <c:pt idx="3">
                  <c:v>6.4498279137699841</c:v>
                </c:pt>
                <c:pt idx="4">
                  <c:v>5.7469479764138338</c:v>
                </c:pt>
                <c:pt idx="5">
                  <c:v>4.957709476586623</c:v>
                </c:pt>
                <c:pt idx="6">
                  <c:v>4.0583768674525134</c:v>
                </c:pt>
                <c:pt idx="7">
                  <c:v>3.1353163789539584</c:v>
                </c:pt>
                <c:pt idx="8">
                  <c:v>2.2139430098130402</c:v>
                </c:pt>
                <c:pt idx="9">
                  <c:v>1.4004890117085151</c:v>
                </c:pt>
                <c:pt idx="10">
                  <c:v>1.0428207114551666</c:v>
                </c:pt>
                <c:pt idx="11">
                  <c:v>1.0002420841363753</c:v>
                </c:pt>
                <c:pt idx="12">
                  <c:v>1.0000080911093867</c:v>
                </c:pt>
                <c:pt idx="13">
                  <c:v>1</c:v>
                </c:pt>
                <c:pt idx="14">
                  <c:v>1</c:v>
                </c:pt>
              </c:numCache>
            </c:numRef>
          </c:yVal>
          <c:smooth val="1"/>
        </c:ser>
        <c:axId val="61637376"/>
        <c:axId val="155107712"/>
      </c:scatterChart>
      <c:valAx>
        <c:axId val="61637376"/>
        <c:scaling>
          <c:logBase val="10"/>
          <c:orientation val="minMax"/>
        </c:scaling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Permeability (md)</a:t>
                </a:r>
              </a:p>
            </c:rich>
          </c:tx>
          <c:layout/>
        </c:title>
        <c:numFmt formatCode="General" sourceLinked="0"/>
        <c:minorTickMark val="in"/>
        <c:tickLblPos val="nextTo"/>
        <c:crossAx val="155107712"/>
        <c:crossesAt val="1"/>
        <c:crossBetween val="midCat"/>
      </c:valAx>
      <c:valAx>
        <c:axId val="155107712"/>
        <c:scaling>
          <c:logBase val="10"/>
          <c:orientation val="minMax"/>
          <c:min val="1"/>
        </c:scaling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FOI</a:t>
                </a:r>
              </a:p>
            </c:rich>
          </c:tx>
          <c:layout/>
        </c:title>
        <c:numFmt formatCode="General" sourceLinked="0"/>
        <c:minorTickMark val="in"/>
        <c:tickLblPos val="nextTo"/>
        <c:crossAx val="61637376"/>
        <c:crossesAt val="1.0000000000000002E-4"/>
        <c:crossBetween val="midCat"/>
      </c:valAx>
      <c:spPr>
        <a:ln>
          <a:solidFill>
            <a:schemeClr val="bg1">
              <a:lumMod val="50000"/>
            </a:schemeClr>
          </a:solidFill>
        </a:ln>
      </c:spPr>
    </c:plotArea>
    <c:legend>
      <c:legendPos val="b"/>
      <c:layout>
        <c:manualLayout>
          <c:xMode val="edge"/>
          <c:yMode val="edge"/>
          <c:x val="6.7565261635118556E-2"/>
          <c:y val="0.87154612446636737"/>
          <c:w val="0.87969561270978436"/>
          <c:h val="0.10950127295826746"/>
        </c:manualLayout>
      </c:layout>
      <c:txPr>
        <a:bodyPr/>
        <a:lstStyle/>
        <a:p>
          <a:pPr rtl="0">
            <a:defRPr/>
          </a:pPr>
          <a:endParaRPr lang="en-US"/>
        </a:p>
      </c:txPr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0153837181251112"/>
          <c:y val="5.0213475467503974E-2"/>
          <c:w val="0.84626974217316164"/>
          <c:h val="0.77223989165439877"/>
        </c:manualLayout>
      </c:layout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SensDualPorosity!$D$26:$D$106</c:f>
              <c:numCache>
                <c:formatCode>0.0</c:formatCode>
                <c:ptCount val="81"/>
                <c:pt idx="0">
                  <c:v>31</c:v>
                </c:pt>
                <c:pt idx="1">
                  <c:v>59</c:v>
                </c:pt>
                <c:pt idx="2">
                  <c:v>90</c:v>
                </c:pt>
                <c:pt idx="3">
                  <c:v>120</c:v>
                </c:pt>
                <c:pt idx="4">
                  <c:v>151</c:v>
                </c:pt>
                <c:pt idx="5">
                  <c:v>181</c:v>
                </c:pt>
                <c:pt idx="6">
                  <c:v>212</c:v>
                </c:pt>
                <c:pt idx="7">
                  <c:v>243</c:v>
                </c:pt>
                <c:pt idx="8">
                  <c:v>273</c:v>
                </c:pt>
                <c:pt idx="9">
                  <c:v>304</c:v>
                </c:pt>
                <c:pt idx="10">
                  <c:v>334</c:v>
                </c:pt>
                <c:pt idx="11">
                  <c:v>365</c:v>
                </c:pt>
                <c:pt idx="12">
                  <c:v>396</c:v>
                </c:pt>
                <c:pt idx="13">
                  <c:v>424</c:v>
                </c:pt>
                <c:pt idx="14">
                  <c:v>455</c:v>
                </c:pt>
                <c:pt idx="15">
                  <c:v>485</c:v>
                </c:pt>
                <c:pt idx="16">
                  <c:v>516</c:v>
                </c:pt>
                <c:pt idx="17">
                  <c:v>546</c:v>
                </c:pt>
                <c:pt idx="18">
                  <c:v>577</c:v>
                </c:pt>
                <c:pt idx="19">
                  <c:v>608</c:v>
                </c:pt>
                <c:pt idx="20">
                  <c:v>638</c:v>
                </c:pt>
                <c:pt idx="21">
                  <c:v>669</c:v>
                </c:pt>
                <c:pt idx="22">
                  <c:v>699</c:v>
                </c:pt>
                <c:pt idx="23">
                  <c:v>730</c:v>
                </c:pt>
                <c:pt idx="24">
                  <c:v>761</c:v>
                </c:pt>
                <c:pt idx="25">
                  <c:v>789</c:v>
                </c:pt>
                <c:pt idx="26">
                  <c:v>820</c:v>
                </c:pt>
                <c:pt idx="27">
                  <c:v>850</c:v>
                </c:pt>
                <c:pt idx="28">
                  <c:v>881</c:v>
                </c:pt>
                <c:pt idx="29">
                  <c:v>911</c:v>
                </c:pt>
                <c:pt idx="30">
                  <c:v>942</c:v>
                </c:pt>
                <c:pt idx="31">
                  <c:v>973</c:v>
                </c:pt>
                <c:pt idx="32">
                  <c:v>1003</c:v>
                </c:pt>
                <c:pt idx="33">
                  <c:v>1034</c:v>
                </c:pt>
                <c:pt idx="34">
                  <c:v>1064</c:v>
                </c:pt>
                <c:pt idx="35">
                  <c:v>1095</c:v>
                </c:pt>
                <c:pt idx="36">
                  <c:v>1126</c:v>
                </c:pt>
                <c:pt idx="37">
                  <c:v>1155</c:v>
                </c:pt>
                <c:pt idx="38">
                  <c:v>1186</c:v>
                </c:pt>
                <c:pt idx="39">
                  <c:v>1216</c:v>
                </c:pt>
                <c:pt idx="40">
                  <c:v>1247</c:v>
                </c:pt>
                <c:pt idx="41">
                  <c:v>1277</c:v>
                </c:pt>
                <c:pt idx="42">
                  <c:v>1308</c:v>
                </c:pt>
                <c:pt idx="43">
                  <c:v>1339</c:v>
                </c:pt>
                <c:pt idx="44">
                  <c:v>1369</c:v>
                </c:pt>
                <c:pt idx="45">
                  <c:v>1400</c:v>
                </c:pt>
                <c:pt idx="46">
                  <c:v>1430</c:v>
                </c:pt>
                <c:pt idx="47">
                  <c:v>1461</c:v>
                </c:pt>
                <c:pt idx="48">
                  <c:v>1492</c:v>
                </c:pt>
                <c:pt idx="49">
                  <c:v>1520</c:v>
                </c:pt>
                <c:pt idx="50">
                  <c:v>1551</c:v>
                </c:pt>
                <c:pt idx="51">
                  <c:v>1581</c:v>
                </c:pt>
                <c:pt idx="52">
                  <c:v>1612</c:v>
                </c:pt>
                <c:pt idx="53">
                  <c:v>1642</c:v>
                </c:pt>
                <c:pt idx="54">
                  <c:v>1673</c:v>
                </c:pt>
                <c:pt idx="55">
                  <c:v>1704</c:v>
                </c:pt>
                <c:pt idx="56">
                  <c:v>1734</c:v>
                </c:pt>
                <c:pt idx="57">
                  <c:v>1765</c:v>
                </c:pt>
                <c:pt idx="58">
                  <c:v>1795</c:v>
                </c:pt>
                <c:pt idx="59">
                  <c:v>1826</c:v>
                </c:pt>
                <c:pt idx="60">
                  <c:v>1857</c:v>
                </c:pt>
                <c:pt idx="61">
                  <c:v>1885</c:v>
                </c:pt>
                <c:pt idx="62">
                  <c:v>1916</c:v>
                </c:pt>
                <c:pt idx="63">
                  <c:v>1946</c:v>
                </c:pt>
                <c:pt idx="64">
                  <c:v>1977</c:v>
                </c:pt>
                <c:pt idx="65">
                  <c:v>2007</c:v>
                </c:pt>
                <c:pt idx="66">
                  <c:v>2038</c:v>
                </c:pt>
                <c:pt idx="67">
                  <c:v>2069</c:v>
                </c:pt>
                <c:pt idx="68">
                  <c:v>2099</c:v>
                </c:pt>
                <c:pt idx="69">
                  <c:v>2130</c:v>
                </c:pt>
                <c:pt idx="70">
                  <c:v>2160</c:v>
                </c:pt>
                <c:pt idx="71">
                  <c:v>2191</c:v>
                </c:pt>
                <c:pt idx="72">
                  <c:v>2222</c:v>
                </c:pt>
                <c:pt idx="73">
                  <c:v>2250</c:v>
                </c:pt>
                <c:pt idx="74">
                  <c:v>2281</c:v>
                </c:pt>
                <c:pt idx="75">
                  <c:v>2311</c:v>
                </c:pt>
                <c:pt idx="76">
                  <c:v>2342</c:v>
                </c:pt>
                <c:pt idx="77">
                  <c:v>2372</c:v>
                </c:pt>
                <c:pt idx="78">
                  <c:v>2403</c:v>
                </c:pt>
                <c:pt idx="79">
                  <c:v>2434</c:v>
                </c:pt>
                <c:pt idx="80">
                  <c:v>2464</c:v>
                </c:pt>
              </c:numCache>
            </c:numRef>
          </c:xVal>
          <c:yVal>
            <c:numRef>
              <c:f>SensDualPorosity!$E$26:$E$106</c:f>
              <c:numCache>
                <c:formatCode>0.0</c:formatCode>
                <c:ptCount val="81"/>
                <c:pt idx="0">
                  <c:v>103.87620352346681</c:v>
                </c:pt>
                <c:pt idx="1">
                  <c:v>80.13247301891127</c:v>
                </c:pt>
                <c:pt idx="2">
                  <c:v>59.518467758211479</c:v>
                </c:pt>
                <c:pt idx="3">
                  <c:v>46.998660920603328</c:v>
                </c:pt>
                <c:pt idx="4">
                  <c:v>38.444541415971216</c:v>
                </c:pt>
                <c:pt idx="5">
                  <c:v>29.903758587856984</c:v>
                </c:pt>
                <c:pt idx="6">
                  <c:v>24.763878265523314</c:v>
                </c:pt>
                <c:pt idx="7">
                  <c:v>20.694176365821914</c:v>
                </c:pt>
                <c:pt idx="8">
                  <c:v>17.792042108567493</c:v>
                </c:pt>
                <c:pt idx="9">
                  <c:v>15.581624706224639</c:v>
                </c:pt>
                <c:pt idx="10">
                  <c:v>14.004690291248757</c:v>
                </c:pt>
                <c:pt idx="11">
                  <c:v>12.804094918153282</c:v>
                </c:pt>
                <c:pt idx="12">
                  <c:v>11.921873034836537</c:v>
                </c:pt>
                <c:pt idx="13">
                  <c:v>11.329211673378762</c:v>
                </c:pt>
                <c:pt idx="14">
                  <c:v>10.841446826736085</c:v>
                </c:pt>
                <c:pt idx="15">
                  <c:v>10.491132765331905</c:v>
                </c:pt>
                <c:pt idx="16">
                  <c:v>10.225162085292091</c:v>
                </c:pt>
                <c:pt idx="17">
                  <c:v>10.036054839139425</c:v>
                </c:pt>
                <c:pt idx="18">
                  <c:v>9.8895987737539244</c:v>
                </c:pt>
                <c:pt idx="19">
                  <c:v>9.7827781984534123</c:v>
                </c:pt>
                <c:pt idx="20">
                  <c:v>9.7078717085981179</c:v>
                </c:pt>
                <c:pt idx="21">
                  <c:v>9.6497489088124961</c:v>
                </c:pt>
                <c:pt idx="22">
                  <c:v>9.6055135700176102</c:v>
                </c:pt>
                <c:pt idx="23">
                  <c:v>9.5730755785927588</c:v>
                </c:pt>
                <c:pt idx="24">
                  <c:v>9.5508221583339719</c:v>
                </c:pt>
                <c:pt idx="25">
                  <c:v>9.53477400780951</c:v>
                </c:pt>
                <c:pt idx="26">
                  <c:v>9.5178640209784859</c:v>
                </c:pt>
                <c:pt idx="27">
                  <c:v>9.5073387461909515</c:v>
                </c:pt>
                <c:pt idx="28">
                  <c:v>9.5008816207028559</c:v>
                </c:pt>
                <c:pt idx="29">
                  <c:v>9.494781904754614</c:v>
                </c:pt>
                <c:pt idx="30">
                  <c:v>9.4883524855677219</c:v>
                </c:pt>
                <c:pt idx="31">
                  <c:v>9.4821583531123199</c:v>
                </c:pt>
                <c:pt idx="32">
                  <c:v>9.4778004512671323</c:v>
                </c:pt>
                <c:pt idx="33">
                  <c:v>9.4770126518643298</c:v>
                </c:pt>
                <c:pt idx="34">
                  <c:v>9.4731008985529446</c:v>
                </c:pt>
                <c:pt idx="35">
                  <c:v>9.4712829766480375</c:v>
                </c:pt>
                <c:pt idx="36">
                  <c:v>9.4661838899012345</c:v>
                </c:pt>
                <c:pt idx="37">
                  <c:v>9.4633505994946798</c:v>
                </c:pt>
                <c:pt idx="38">
                  <c:v>9.4626805725442171</c:v>
                </c:pt>
                <c:pt idx="39">
                  <c:v>9.4604182812954605</c:v>
                </c:pt>
                <c:pt idx="40">
                  <c:v>9.4588848717556093</c:v>
                </c:pt>
                <c:pt idx="41">
                  <c:v>9.4551996479595743</c:v>
                </c:pt>
                <c:pt idx="42">
                  <c:v>9.4522043469872141</c:v>
                </c:pt>
                <c:pt idx="43">
                  <c:v>9.4515983874129095</c:v>
                </c:pt>
                <c:pt idx="44">
                  <c:v>9.4496384757675536</c:v>
                </c:pt>
                <c:pt idx="45">
                  <c:v>9.4482825621315367</c:v>
                </c:pt>
                <c:pt idx="46">
                  <c:v>9.446240598729041</c:v>
                </c:pt>
                <c:pt idx="47">
                  <c:v>9.4426138846948948</c:v>
                </c:pt>
                <c:pt idx="48">
                  <c:v>9.4398157072199673</c:v>
                </c:pt>
                <c:pt idx="49">
                  <c:v>9.4396864125258411</c:v>
                </c:pt>
                <c:pt idx="50">
                  <c:v>9.4378519238955683</c:v>
                </c:pt>
                <c:pt idx="51">
                  <c:v>9.4360788855370963</c:v>
                </c:pt>
                <c:pt idx="52">
                  <c:v>9.4344893311385043</c:v>
                </c:pt>
                <c:pt idx="53">
                  <c:v>9.4328390077329463</c:v>
                </c:pt>
                <c:pt idx="54">
                  <c:v>9.429040305336498</c:v>
                </c:pt>
                <c:pt idx="55">
                  <c:v>9.4263356825664193</c:v>
                </c:pt>
                <c:pt idx="56">
                  <c:v>9.4265288016231548</c:v>
                </c:pt>
                <c:pt idx="57">
                  <c:v>9.4229134692596297</c:v>
                </c:pt>
                <c:pt idx="58">
                  <c:v>9.4229621385805071</c:v>
                </c:pt>
                <c:pt idx="59">
                  <c:v>9.4214061214302127</c:v>
                </c:pt>
                <c:pt idx="60">
                  <c:v>9.4197872887221514</c:v>
                </c:pt>
                <c:pt idx="61">
                  <c:v>9.416216128320956</c:v>
                </c:pt>
                <c:pt idx="62">
                  <c:v>9.4142860848327086</c:v>
                </c:pt>
                <c:pt idx="63">
                  <c:v>9.4138682425541695</c:v>
                </c:pt>
                <c:pt idx="64">
                  <c:v>9.4103335144322795</c:v>
                </c:pt>
                <c:pt idx="65">
                  <c:v>9.4092026497205428</c:v>
                </c:pt>
                <c:pt idx="66">
                  <c:v>9.4086382110098778</c:v>
                </c:pt>
                <c:pt idx="67">
                  <c:v>9.4070832633029635</c:v>
                </c:pt>
                <c:pt idx="68">
                  <c:v>9.4055066125105284</c:v>
                </c:pt>
                <c:pt idx="69">
                  <c:v>9.4017902838986309</c:v>
                </c:pt>
                <c:pt idx="70">
                  <c:v>9.3998787852384957</c:v>
                </c:pt>
                <c:pt idx="71">
                  <c:v>9.3993251305413068</c:v>
                </c:pt>
                <c:pt idx="72">
                  <c:v>9.3967460892734103</c:v>
                </c:pt>
                <c:pt idx="73">
                  <c:v>9.3950123557154903</c:v>
                </c:pt>
                <c:pt idx="74">
                  <c:v>9.3944084537171744</c:v>
                </c:pt>
                <c:pt idx="75">
                  <c:v>9.3927549022280061</c:v>
                </c:pt>
                <c:pt idx="76">
                  <c:v>9.3912261687466518</c:v>
                </c:pt>
                <c:pt idx="77">
                  <c:v>9.387701245693286</c:v>
                </c:pt>
                <c:pt idx="78">
                  <c:v>9.3857775490391244</c:v>
                </c:pt>
                <c:pt idx="79">
                  <c:v>9.3856204906209335</c:v>
                </c:pt>
                <c:pt idx="80">
                  <c:v>9.3826801727279694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SensDualPorosity!$D$26:$D$106</c:f>
              <c:numCache>
                <c:formatCode>0.0</c:formatCode>
                <c:ptCount val="81"/>
                <c:pt idx="0">
                  <c:v>31</c:v>
                </c:pt>
                <c:pt idx="1">
                  <c:v>59</c:v>
                </c:pt>
                <c:pt idx="2">
                  <c:v>90</c:v>
                </c:pt>
                <c:pt idx="3">
                  <c:v>120</c:v>
                </c:pt>
                <c:pt idx="4">
                  <c:v>151</c:v>
                </c:pt>
                <c:pt idx="5">
                  <c:v>181</c:v>
                </c:pt>
                <c:pt idx="6">
                  <c:v>212</c:v>
                </c:pt>
                <c:pt idx="7">
                  <c:v>243</c:v>
                </c:pt>
                <c:pt idx="8">
                  <c:v>273</c:v>
                </c:pt>
                <c:pt idx="9">
                  <c:v>304</c:v>
                </c:pt>
                <c:pt idx="10">
                  <c:v>334</c:v>
                </c:pt>
                <c:pt idx="11">
                  <c:v>365</c:v>
                </c:pt>
                <c:pt idx="12">
                  <c:v>396</c:v>
                </c:pt>
                <c:pt idx="13">
                  <c:v>424</c:v>
                </c:pt>
                <c:pt idx="14">
                  <c:v>455</c:v>
                </c:pt>
                <c:pt idx="15">
                  <c:v>485</c:v>
                </c:pt>
                <c:pt idx="16">
                  <c:v>516</c:v>
                </c:pt>
                <c:pt idx="17">
                  <c:v>546</c:v>
                </c:pt>
                <c:pt idx="18">
                  <c:v>577</c:v>
                </c:pt>
                <c:pt idx="19">
                  <c:v>608</c:v>
                </c:pt>
                <c:pt idx="20">
                  <c:v>638</c:v>
                </c:pt>
                <c:pt idx="21">
                  <c:v>669</c:v>
                </c:pt>
                <c:pt idx="22">
                  <c:v>699</c:v>
                </c:pt>
                <c:pt idx="23">
                  <c:v>730</c:v>
                </c:pt>
                <c:pt idx="24">
                  <c:v>761</c:v>
                </c:pt>
                <c:pt idx="25">
                  <c:v>789</c:v>
                </c:pt>
                <c:pt idx="26">
                  <c:v>820</c:v>
                </c:pt>
                <c:pt idx="27">
                  <c:v>850</c:v>
                </c:pt>
                <c:pt idx="28">
                  <c:v>881</c:v>
                </c:pt>
                <c:pt idx="29">
                  <c:v>911</c:v>
                </c:pt>
                <c:pt idx="30">
                  <c:v>942</c:v>
                </c:pt>
                <c:pt idx="31">
                  <c:v>973</c:v>
                </c:pt>
                <c:pt idx="32">
                  <c:v>1003</c:v>
                </c:pt>
                <c:pt idx="33">
                  <c:v>1034</c:v>
                </c:pt>
                <c:pt idx="34">
                  <c:v>1064</c:v>
                </c:pt>
                <c:pt idx="35">
                  <c:v>1095</c:v>
                </c:pt>
                <c:pt idx="36">
                  <c:v>1126</c:v>
                </c:pt>
                <c:pt idx="37">
                  <c:v>1155</c:v>
                </c:pt>
                <c:pt idx="38">
                  <c:v>1186</c:v>
                </c:pt>
                <c:pt idx="39">
                  <c:v>1216</c:v>
                </c:pt>
                <c:pt idx="40">
                  <c:v>1247</c:v>
                </c:pt>
                <c:pt idx="41">
                  <c:v>1277</c:v>
                </c:pt>
                <c:pt idx="42">
                  <c:v>1308</c:v>
                </c:pt>
                <c:pt idx="43">
                  <c:v>1339</c:v>
                </c:pt>
                <c:pt idx="44">
                  <c:v>1369</c:v>
                </c:pt>
                <c:pt idx="45">
                  <c:v>1400</c:v>
                </c:pt>
                <c:pt idx="46">
                  <c:v>1430</c:v>
                </c:pt>
                <c:pt idx="47">
                  <c:v>1461</c:v>
                </c:pt>
                <c:pt idx="48">
                  <c:v>1492</c:v>
                </c:pt>
                <c:pt idx="49">
                  <c:v>1520</c:v>
                </c:pt>
                <c:pt idx="50">
                  <c:v>1551</c:v>
                </c:pt>
                <c:pt idx="51">
                  <c:v>1581</c:v>
                </c:pt>
                <c:pt idx="52">
                  <c:v>1612</c:v>
                </c:pt>
                <c:pt idx="53">
                  <c:v>1642</c:v>
                </c:pt>
                <c:pt idx="54">
                  <c:v>1673</c:v>
                </c:pt>
                <c:pt idx="55">
                  <c:v>1704</c:v>
                </c:pt>
                <c:pt idx="56">
                  <c:v>1734</c:v>
                </c:pt>
                <c:pt idx="57">
                  <c:v>1765</c:v>
                </c:pt>
                <c:pt idx="58">
                  <c:v>1795</c:v>
                </c:pt>
                <c:pt idx="59">
                  <c:v>1826</c:v>
                </c:pt>
                <c:pt idx="60">
                  <c:v>1857</c:v>
                </c:pt>
                <c:pt idx="61">
                  <c:v>1885</c:v>
                </c:pt>
                <c:pt idx="62">
                  <c:v>1916</c:v>
                </c:pt>
                <c:pt idx="63">
                  <c:v>1946</c:v>
                </c:pt>
                <c:pt idx="64">
                  <c:v>1977</c:v>
                </c:pt>
                <c:pt idx="65">
                  <c:v>2007</c:v>
                </c:pt>
                <c:pt idx="66">
                  <c:v>2038</c:v>
                </c:pt>
                <c:pt idx="67">
                  <c:v>2069</c:v>
                </c:pt>
                <c:pt idx="68">
                  <c:v>2099</c:v>
                </c:pt>
                <c:pt idx="69">
                  <c:v>2130</c:v>
                </c:pt>
                <c:pt idx="70">
                  <c:v>2160</c:v>
                </c:pt>
                <c:pt idx="71">
                  <c:v>2191</c:v>
                </c:pt>
                <c:pt idx="72">
                  <c:v>2222</c:v>
                </c:pt>
                <c:pt idx="73">
                  <c:v>2250</c:v>
                </c:pt>
                <c:pt idx="74">
                  <c:v>2281</c:v>
                </c:pt>
                <c:pt idx="75">
                  <c:v>2311</c:v>
                </c:pt>
                <c:pt idx="76">
                  <c:v>2342</c:v>
                </c:pt>
                <c:pt idx="77">
                  <c:v>2372</c:v>
                </c:pt>
                <c:pt idx="78">
                  <c:v>2403</c:v>
                </c:pt>
                <c:pt idx="79">
                  <c:v>2434</c:v>
                </c:pt>
                <c:pt idx="80">
                  <c:v>2464</c:v>
                </c:pt>
              </c:numCache>
            </c:numRef>
          </c:xVal>
          <c:yVal>
            <c:numRef>
              <c:f>SensDualPorosity!$F$26:$F$106</c:f>
              <c:numCache>
                <c:formatCode>0.0</c:formatCode>
                <c:ptCount val="81"/>
                <c:pt idx="0">
                  <c:v>103.65154742393385</c:v>
                </c:pt>
                <c:pt idx="1">
                  <c:v>80.097276416660293</c:v>
                </c:pt>
                <c:pt idx="2">
                  <c:v>61.236334781716558</c:v>
                </c:pt>
                <c:pt idx="3">
                  <c:v>47.798456595513365</c:v>
                </c:pt>
                <c:pt idx="4">
                  <c:v>37.556733741673689</c:v>
                </c:pt>
                <c:pt idx="5">
                  <c:v>30.246818682796114</c:v>
                </c:pt>
                <c:pt idx="6">
                  <c:v>24.669655415358704</c:v>
                </c:pt>
                <c:pt idx="7">
                  <c:v>20.570312187581351</c:v>
                </c:pt>
                <c:pt idx="8">
                  <c:v>17.637035343082459</c:v>
                </c:pt>
                <c:pt idx="9">
                  <c:v>15.392099882397979</c:v>
                </c:pt>
                <c:pt idx="10">
                  <c:v>13.780077723298371</c:v>
                </c:pt>
                <c:pt idx="11">
                  <c:v>12.541985373401731</c:v>
                </c:pt>
                <c:pt idx="12">
                  <c:v>11.620985099609525</c:v>
                </c:pt>
                <c:pt idx="13">
                  <c:v>10.992744804838834</c:v>
                </c:pt>
                <c:pt idx="14">
                  <c:v>10.464922248832403</c:v>
                </c:pt>
                <c:pt idx="15">
                  <c:v>10.075392655539392</c:v>
                </c:pt>
                <c:pt idx="16">
                  <c:v>9.7687021828343941</c:v>
                </c:pt>
                <c:pt idx="17">
                  <c:v>9.5399532858127252</c:v>
                </c:pt>
                <c:pt idx="18">
                  <c:v>9.3524162434729359</c:v>
                </c:pt>
                <c:pt idx="19">
                  <c:v>9.204456984457547</c:v>
                </c:pt>
                <c:pt idx="20">
                  <c:v>9.0898198621851325</c:v>
                </c:pt>
                <c:pt idx="21">
                  <c:v>8.9907323607687015</c:v>
                </c:pt>
                <c:pt idx="22">
                  <c:v>8.9069088823214155</c:v>
                </c:pt>
                <c:pt idx="23">
                  <c:v>8.8337090623995103</c:v>
                </c:pt>
                <c:pt idx="24">
                  <c:v>8.7708515363295323</c:v>
                </c:pt>
                <c:pt idx="25">
                  <c:v>8.7171634642064166</c:v>
                </c:pt>
                <c:pt idx="26">
                  <c:v>8.6609869117219223</c:v>
                </c:pt>
                <c:pt idx="27">
                  <c:v>8.6115535038664728</c:v>
                </c:pt>
                <c:pt idx="28">
                  <c:v>8.5651008956435195</c:v>
                </c:pt>
                <c:pt idx="29">
                  <c:v>8.5205782358165543</c:v>
                </c:pt>
                <c:pt idx="30">
                  <c:v>8.4741264632110873</c:v>
                </c:pt>
                <c:pt idx="31">
                  <c:v>8.4288296678661681</c:v>
                </c:pt>
                <c:pt idx="32">
                  <c:v>8.3864949072812198</c:v>
                </c:pt>
                <c:pt idx="33">
                  <c:v>8.346764833473701</c:v>
                </c:pt>
                <c:pt idx="34">
                  <c:v>8.3052613289947175</c:v>
                </c:pt>
                <c:pt idx="35">
                  <c:v>8.2645044030319283</c:v>
                </c:pt>
                <c:pt idx="36">
                  <c:v>8.2211262134599181</c:v>
                </c:pt>
                <c:pt idx="37">
                  <c:v>8.1825506524768414</c:v>
                </c:pt>
                <c:pt idx="38">
                  <c:v>8.1438460145471261</c:v>
                </c:pt>
                <c:pt idx="39">
                  <c:v>8.1049130913406326</c:v>
                </c:pt>
                <c:pt idx="40">
                  <c:v>8.0656908097389177</c:v>
                </c:pt>
                <c:pt idx="41">
                  <c:v>8.0256550772528907</c:v>
                </c:pt>
                <c:pt idx="42">
                  <c:v>7.9853424200290952</c:v>
                </c:pt>
                <c:pt idx="43">
                  <c:v>7.9476333378761206</c:v>
                </c:pt>
                <c:pt idx="44">
                  <c:v>7.9086185264527993</c:v>
                </c:pt>
                <c:pt idx="45">
                  <c:v>7.8715639422708836</c:v>
                </c:pt>
                <c:pt idx="46">
                  <c:v>7.8344743710282518</c:v>
                </c:pt>
                <c:pt idx="47">
                  <c:v>7.7942966924431518</c:v>
                </c:pt>
                <c:pt idx="48">
                  <c:v>7.7553013786080713</c:v>
                </c:pt>
                <c:pt idx="49">
                  <c:v>7.7227126076104442</c:v>
                </c:pt>
                <c:pt idx="50">
                  <c:v>7.6835965739223644</c:v>
                </c:pt>
                <c:pt idx="51">
                  <c:v>7.6489038696883869</c:v>
                </c:pt>
                <c:pt idx="52">
                  <c:v>7.6116522226475762</c:v>
                </c:pt>
                <c:pt idx="53">
                  <c:v>7.5740708149452578</c:v>
                </c:pt>
                <c:pt idx="54">
                  <c:v>7.5368533556389252</c:v>
                </c:pt>
                <c:pt idx="55">
                  <c:v>7.5012136804226328</c:v>
                </c:pt>
                <c:pt idx="56">
                  <c:v>7.4658361731873519</c:v>
                </c:pt>
                <c:pt idx="57">
                  <c:v>7.4282671550417287</c:v>
                </c:pt>
                <c:pt idx="58">
                  <c:v>7.3943634560906526</c:v>
                </c:pt>
                <c:pt idx="59">
                  <c:v>7.3585672250210559</c:v>
                </c:pt>
                <c:pt idx="60">
                  <c:v>7.3209821064237053</c:v>
                </c:pt>
                <c:pt idx="61">
                  <c:v>7.2886294977413684</c:v>
                </c:pt>
                <c:pt idx="62">
                  <c:v>7.2543070207487954</c:v>
                </c:pt>
                <c:pt idx="63">
                  <c:v>7.2198533021973814</c:v>
                </c:pt>
                <c:pt idx="64">
                  <c:v>7.1838222313758529</c:v>
                </c:pt>
                <c:pt idx="65">
                  <c:v>7.149772958119593</c:v>
                </c:pt>
                <c:pt idx="66">
                  <c:v>7.116243454099993</c:v>
                </c:pt>
                <c:pt idx="67">
                  <c:v>7.0818351019064387</c:v>
                </c:pt>
                <c:pt idx="68">
                  <c:v>7.0466669942577145</c:v>
                </c:pt>
                <c:pt idx="69">
                  <c:v>7.0121644203353499</c:v>
                </c:pt>
                <c:pt idx="70">
                  <c:v>6.9807440612510536</c:v>
                </c:pt>
                <c:pt idx="71">
                  <c:v>6.9454505944414677</c:v>
                </c:pt>
                <c:pt idx="72">
                  <c:v>6.9114808605772913</c:v>
                </c:pt>
                <c:pt idx="73">
                  <c:v>6.8809739329300976</c:v>
                </c:pt>
                <c:pt idx="74">
                  <c:v>6.848662013168977</c:v>
                </c:pt>
                <c:pt idx="75">
                  <c:v>6.8165338980169974</c:v>
                </c:pt>
                <c:pt idx="76">
                  <c:v>6.7816940304723996</c:v>
                </c:pt>
                <c:pt idx="77">
                  <c:v>6.7495778284970527</c:v>
                </c:pt>
                <c:pt idx="78">
                  <c:v>6.7182552858127256</c:v>
                </c:pt>
                <c:pt idx="79">
                  <c:v>6.6849066831023665</c:v>
                </c:pt>
                <c:pt idx="80">
                  <c:v>6.6527550254957513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xVal>
            <c:numRef>
              <c:f>SensDualPorosity!$D$26:$D$106</c:f>
              <c:numCache>
                <c:formatCode>0.0</c:formatCode>
                <c:ptCount val="81"/>
                <c:pt idx="0">
                  <c:v>31</c:v>
                </c:pt>
                <c:pt idx="1">
                  <c:v>59</c:v>
                </c:pt>
                <c:pt idx="2">
                  <c:v>90</c:v>
                </c:pt>
                <c:pt idx="3">
                  <c:v>120</c:v>
                </c:pt>
                <c:pt idx="4">
                  <c:v>151</c:v>
                </c:pt>
                <c:pt idx="5">
                  <c:v>181</c:v>
                </c:pt>
                <c:pt idx="6">
                  <c:v>212</c:v>
                </c:pt>
                <c:pt idx="7">
                  <c:v>243</c:v>
                </c:pt>
                <c:pt idx="8">
                  <c:v>273</c:v>
                </c:pt>
                <c:pt idx="9">
                  <c:v>304</c:v>
                </c:pt>
                <c:pt idx="10">
                  <c:v>334</c:v>
                </c:pt>
                <c:pt idx="11">
                  <c:v>365</c:v>
                </c:pt>
                <c:pt idx="12">
                  <c:v>396</c:v>
                </c:pt>
                <c:pt idx="13">
                  <c:v>424</c:v>
                </c:pt>
                <c:pt idx="14">
                  <c:v>455</c:v>
                </c:pt>
                <c:pt idx="15">
                  <c:v>485</c:v>
                </c:pt>
                <c:pt idx="16">
                  <c:v>516</c:v>
                </c:pt>
                <c:pt idx="17">
                  <c:v>546</c:v>
                </c:pt>
                <c:pt idx="18">
                  <c:v>577</c:v>
                </c:pt>
                <c:pt idx="19">
                  <c:v>608</c:v>
                </c:pt>
                <c:pt idx="20">
                  <c:v>638</c:v>
                </c:pt>
                <c:pt idx="21">
                  <c:v>669</c:v>
                </c:pt>
                <c:pt idx="22">
                  <c:v>699</c:v>
                </c:pt>
                <c:pt idx="23">
                  <c:v>730</c:v>
                </c:pt>
                <c:pt idx="24">
                  <c:v>761</c:v>
                </c:pt>
                <c:pt idx="25">
                  <c:v>789</c:v>
                </c:pt>
                <c:pt idx="26">
                  <c:v>820</c:v>
                </c:pt>
                <c:pt idx="27">
                  <c:v>850</c:v>
                </c:pt>
                <c:pt idx="28">
                  <c:v>881</c:v>
                </c:pt>
                <c:pt idx="29">
                  <c:v>911</c:v>
                </c:pt>
                <c:pt idx="30">
                  <c:v>942</c:v>
                </c:pt>
                <c:pt idx="31">
                  <c:v>973</c:v>
                </c:pt>
                <c:pt idx="32">
                  <c:v>1003</c:v>
                </c:pt>
                <c:pt idx="33">
                  <c:v>1034</c:v>
                </c:pt>
                <c:pt idx="34">
                  <c:v>1064</c:v>
                </c:pt>
                <c:pt idx="35">
                  <c:v>1095</c:v>
                </c:pt>
                <c:pt idx="36">
                  <c:v>1126</c:v>
                </c:pt>
                <c:pt idx="37">
                  <c:v>1155</c:v>
                </c:pt>
                <c:pt idx="38">
                  <c:v>1186</c:v>
                </c:pt>
                <c:pt idx="39">
                  <c:v>1216</c:v>
                </c:pt>
                <c:pt idx="40">
                  <c:v>1247</c:v>
                </c:pt>
                <c:pt idx="41">
                  <c:v>1277</c:v>
                </c:pt>
                <c:pt idx="42">
                  <c:v>1308</c:v>
                </c:pt>
                <c:pt idx="43">
                  <c:v>1339</c:v>
                </c:pt>
                <c:pt idx="44">
                  <c:v>1369</c:v>
                </c:pt>
                <c:pt idx="45">
                  <c:v>1400</c:v>
                </c:pt>
                <c:pt idx="46">
                  <c:v>1430</c:v>
                </c:pt>
                <c:pt idx="47">
                  <c:v>1461</c:v>
                </c:pt>
                <c:pt idx="48">
                  <c:v>1492</c:v>
                </c:pt>
                <c:pt idx="49">
                  <c:v>1520</c:v>
                </c:pt>
                <c:pt idx="50">
                  <c:v>1551</c:v>
                </c:pt>
                <c:pt idx="51">
                  <c:v>1581</c:v>
                </c:pt>
                <c:pt idx="52">
                  <c:v>1612</c:v>
                </c:pt>
                <c:pt idx="53">
                  <c:v>1642</c:v>
                </c:pt>
                <c:pt idx="54">
                  <c:v>1673</c:v>
                </c:pt>
                <c:pt idx="55">
                  <c:v>1704</c:v>
                </c:pt>
                <c:pt idx="56">
                  <c:v>1734</c:v>
                </c:pt>
                <c:pt idx="57">
                  <c:v>1765</c:v>
                </c:pt>
                <c:pt idx="58">
                  <c:v>1795</c:v>
                </c:pt>
                <c:pt idx="59">
                  <c:v>1826</c:v>
                </c:pt>
                <c:pt idx="60">
                  <c:v>1857</c:v>
                </c:pt>
                <c:pt idx="61">
                  <c:v>1885</c:v>
                </c:pt>
                <c:pt idx="62">
                  <c:v>1916</c:v>
                </c:pt>
                <c:pt idx="63">
                  <c:v>1946</c:v>
                </c:pt>
                <c:pt idx="64">
                  <c:v>1977</c:v>
                </c:pt>
                <c:pt idx="65">
                  <c:v>2007</c:v>
                </c:pt>
                <c:pt idx="66">
                  <c:v>2038</c:v>
                </c:pt>
                <c:pt idx="67">
                  <c:v>2069</c:v>
                </c:pt>
                <c:pt idx="68">
                  <c:v>2099</c:v>
                </c:pt>
                <c:pt idx="69">
                  <c:v>2130</c:v>
                </c:pt>
                <c:pt idx="70">
                  <c:v>2160</c:v>
                </c:pt>
                <c:pt idx="71">
                  <c:v>2191</c:v>
                </c:pt>
                <c:pt idx="72">
                  <c:v>2222</c:v>
                </c:pt>
                <c:pt idx="73">
                  <c:v>2250</c:v>
                </c:pt>
                <c:pt idx="74">
                  <c:v>2281</c:v>
                </c:pt>
                <c:pt idx="75">
                  <c:v>2311</c:v>
                </c:pt>
                <c:pt idx="76">
                  <c:v>2342</c:v>
                </c:pt>
                <c:pt idx="77">
                  <c:v>2372</c:v>
                </c:pt>
                <c:pt idx="78">
                  <c:v>2403</c:v>
                </c:pt>
                <c:pt idx="79">
                  <c:v>2434</c:v>
                </c:pt>
                <c:pt idx="80">
                  <c:v>2464</c:v>
                </c:pt>
              </c:numCache>
            </c:numRef>
          </c:xVal>
          <c:yVal>
            <c:numRef>
              <c:f>SensDualPorosity!$G$26:$G$106</c:f>
              <c:numCache>
                <c:formatCode>0.0</c:formatCode>
                <c:ptCount val="81"/>
                <c:pt idx="0">
                  <c:v>103.65065644070134</c:v>
                </c:pt>
                <c:pt idx="1">
                  <c:v>80.093029645050152</c:v>
                </c:pt>
                <c:pt idx="2">
                  <c:v>61.225784793966781</c:v>
                </c:pt>
                <c:pt idx="3">
                  <c:v>47.777741018298755</c:v>
                </c:pt>
                <c:pt idx="4">
                  <c:v>37.522869787152594</c:v>
                </c:pt>
                <c:pt idx="5">
                  <c:v>30.197186431973051</c:v>
                </c:pt>
                <c:pt idx="6">
                  <c:v>24.600619872904069</c:v>
                </c:pt>
                <c:pt idx="7">
                  <c:v>20.480113850394307</c:v>
                </c:pt>
                <c:pt idx="8">
                  <c:v>17.524283296684789</c:v>
                </c:pt>
                <c:pt idx="9">
                  <c:v>15.254874723068678</c:v>
                </c:pt>
                <c:pt idx="10">
                  <c:v>13.617910143174337</c:v>
                </c:pt>
                <c:pt idx="11">
                  <c:v>12.353318188040733</c:v>
                </c:pt>
                <c:pt idx="12">
                  <c:v>11.405250264604549</c:v>
                </c:pt>
                <c:pt idx="13">
                  <c:v>10.752230711737234</c:v>
                </c:pt>
                <c:pt idx="14">
                  <c:v>10.196718253579359</c:v>
                </c:pt>
                <c:pt idx="15">
                  <c:v>9.7803731365132851</c:v>
                </c:pt>
                <c:pt idx="16">
                  <c:v>9.445896604547892</c:v>
                </c:pt>
                <c:pt idx="17">
                  <c:v>9.1903223322869625</c:v>
                </c:pt>
                <c:pt idx="18">
                  <c:v>8.9753111002220365</c:v>
                </c:pt>
                <c:pt idx="19">
                  <c:v>8.8000845276778215</c:v>
                </c:pt>
                <c:pt idx="20">
                  <c:v>8.6592485319653942</c:v>
                </c:pt>
                <c:pt idx="21">
                  <c:v>8.5333375810428009</c:v>
                </c:pt>
                <c:pt idx="22">
                  <c:v>8.4237247327157192</c:v>
                </c:pt>
                <c:pt idx="23">
                  <c:v>8.3243393449199914</c:v>
                </c:pt>
                <c:pt idx="24">
                  <c:v>8.2355751133910129</c:v>
                </c:pt>
                <c:pt idx="25">
                  <c:v>8.1587447403721001</c:v>
                </c:pt>
                <c:pt idx="26">
                  <c:v>8.0772298360003063</c:v>
                </c:pt>
                <c:pt idx="27">
                  <c:v>8.0036221447056128</c:v>
                </c:pt>
                <c:pt idx="28">
                  <c:v>7.9326152533496677</c:v>
                </c:pt>
                <c:pt idx="29">
                  <c:v>7.8645278340096469</c:v>
                </c:pt>
                <c:pt idx="30">
                  <c:v>7.7940893789143262</c:v>
                </c:pt>
                <c:pt idx="31">
                  <c:v>7.7251410259551339</c:v>
                </c:pt>
                <c:pt idx="32">
                  <c:v>7.660285946864712</c:v>
                </c:pt>
                <c:pt idx="33">
                  <c:v>7.5976426264451433</c:v>
                </c:pt>
                <c:pt idx="34">
                  <c:v>7.5341961370492321</c:v>
                </c:pt>
                <c:pt idx="35">
                  <c:v>7.4710896938978646</c:v>
                </c:pt>
                <c:pt idx="36">
                  <c:v>7.4057216504096175</c:v>
                </c:pt>
                <c:pt idx="37">
                  <c:v>7.3467956485720842</c:v>
                </c:pt>
                <c:pt idx="38">
                  <c:v>7.2867518128780349</c:v>
                </c:pt>
                <c:pt idx="39">
                  <c:v>7.2274937419799414</c:v>
                </c:pt>
                <c:pt idx="40">
                  <c:v>7.1674566808054516</c:v>
                </c:pt>
                <c:pt idx="41">
                  <c:v>7.1075958118061413</c:v>
                </c:pt>
                <c:pt idx="42">
                  <c:v>7.0471190182987522</c:v>
                </c:pt>
                <c:pt idx="43">
                  <c:v>6.9896140692136903</c:v>
                </c:pt>
                <c:pt idx="44">
                  <c:v>6.9327733413980557</c:v>
                </c:pt>
                <c:pt idx="45">
                  <c:v>6.8753833230227404</c:v>
                </c:pt>
                <c:pt idx="46">
                  <c:v>6.81987666151137</c:v>
                </c:pt>
                <c:pt idx="47">
                  <c:v>6.7610511133910114</c:v>
                </c:pt>
                <c:pt idx="48">
                  <c:v>6.7036337392236431</c:v>
                </c:pt>
                <c:pt idx="49">
                  <c:v>6.6548001044330451</c:v>
                </c:pt>
                <c:pt idx="50">
                  <c:v>6.5974580024500424</c:v>
                </c:pt>
                <c:pt idx="51">
                  <c:v>6.5460400260316982</c:v>
                </c:pt>
                <c:pt idx="52">
                  <c:v>6.4915228348518497</c:v>
                </c:pt>
                <c:pt idx="53">
                  <c:v>6.4373705356404569</c:v>
                </c:pt>
                <c:pt idx="54">
                  <c:v>6.3833746466579901</c:v>
                </c:pt>
                <c:pt idx="55">
                  <c:v>6.3313320294005058</c:v>
                </c:pt>
                <c:pt idx="56">
                  <c:v>6.2785241032080243</c:v>
                </c:pt>
                <c:pt idx="57">
                  <c:v>6.2266200537477996</c:v>
                </c:pt>
                <c:pt idx="58">
                  <c:v>6.177539534185744</c:v>
                </c:pt>
                <c:pt idx="59">
                  <c:v>6.1262839105734637</c:v>
                </c:pt>
                <c:pt idx="60">
                  <c:v>6.0734163785315065</c:v>
                </c:pt>
                <c:pt idx="61">
                  <c:v>6.027528373018912</c:v>
                </c:pt>
                <c:pt idx="62">
                  <c:v>5.9785578485567727</c:v>
                </c:pt>
                <c:pt idx="63">
                  <c:v>5.929272327540005</c:v>
                </c:pt>
                <c:pt idx="64">
                  <c:v>5.8796920747262842</c:v>
                </c:pt>
                <c:pt idx="65">
                  <c:v>5.8333508576678668</c:v>
                </c:pt>
                <c:pt idx="66">
                  <c:v>5.7848083540310853</c:v>
                </c:pt>
                <c:pt idx="67">
                  <c:v>5.7369461670622472</c:v>
                </c:pt>
                <c:pt idx="68">
                  <c:v>5.688733412143022</c:v>
                </c:pt>
                <c:pt idx="69">
                  <c:v>5.6408381661434808</c:v>
                </c:pt>
                <c:pt idx="70">
                  <c:v>5.5961110101829883</c:v>
                </c:pt>
                <c:pt idx="71">
                  <c:v>5.5493274230150833</c:v>
                </c:pt>
                <c:pt idx="72">
                  <c:v>5.5029272799938749</c:v>
                </c:pt>
                <c:pt idx="73">
                  <c:v>5.4613851653012793</c:v>
                </c:pt>
                <c:pt idx="74">
                  <c:v>5.4172538693821304</c:v>
                </c:pt>
                <c:pt idx="75">
                  <c:v>5.3738016286654933</c:v>
                </c:pt>
                <c:pt idx="76">
                  <c:v>5.3271190427991737</c:v>
                </c:pt>
                <c:pt idx="77">
                  <c:v>5.2836836513283822</c:v>
                </c:pt>
                <c:pt idx="78">
                  <c:v>5.2409363129928801</c:v>
                </c:pt>
                <c:pt idx="79">
                  <c:v>5.1966826746803463</c:v>
                </c:pt>
                <c:pt idx="80">
                  <c:v>5.1546736657223802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SensDualPorosity!$D$26:$D$106</c:f>
              <c:numCache>
                <c:formatCode>0.0</c:formatCode>
                <c:ptCount val="81"/>
                <c:pt idx="0">
                  <c:v>31</c:v>
                </c:pt>
                <c:pt idx="1">
                  <c:v>59</c:v>
                </c:pt>
                <c:pt idx="2">
                  <c:v>90</c:v>
                </c:pt>
                <c:pt idx="3">
                  <c:v>120</c:v>
                </c:pt>
                <c:pt idx="4">
                  <c:v>151</c:v>
                </c:pt>
                <c:pt idx="5">
                  <c:v>181</c:v>
                </c:pt>
                <c:pt idx="6">
                  <c:v>212</c:v>
                </c:pt>
                <c:pt idx="7">
                  <c:v>243</c:v>
                </c:pt>
                <c:pt idx="8">
                  <c:v>273</c:v>
                </c:pt>
                <c:pt idx="9">
                  <c:v>304</c:v>
                </c:pt>
                <c:pt idx="10">
                  <c:v>334</c:v>
                </c:pt>
                <c:pt idx="11">
                  <c:v>365</c:v>
                </c:pt>
                <c:pt idx="12">
                  <c:v>396</c:v>
                </c:pt>
                <c:pt idx="13">
                  <c:v>424</c:v>
                </c:pt>
                <c:pt idx="14">
                  <c:v>455</c:v>
                </c:pt>
                <c:pt idx="15">
                  <c:v>485</c:v>
                </c:pt>
                <c:pt idx="16">
                  <c:v>516</c:v>
                </c:pt>
                <c:pt idx="17">
                  <c:v>546</c:v>
                </c:pt>
                <c:pt idx="18">
                  <c:v>577</c:v>
                </c:pt>
                <c:pt idx="19">
                  <c:v>608</c:v>
                </c:pt>
                <c:pt idx="20">
                  <c:v>638</c:v>
                </c:pt>
                <c:pt idx="21">
                  <c:v>669</c:v>
                </c:pt>
                <c:pt idx="22">
                  <c:v>699</c:v>
                </c:pt>
                <c:pt idx="23">
                  <c:v>730</c:v>
                </c:pt>
                <c:pt idx="24">
                  <c:v>761</c:v>
                </c:pt>
                <c:pt idx="25">
                  <c:v>789</c:v>
                </c:pt>
                <c:pt idx="26">
                  <c:v>820</c:v>
                </c:pt>
                <c:pt idx="27">
                  <c:v>850</c:v>
                </c:pt>
                <c:pt idx="28">
                  <c:v>881</c:v>
                </c:pt>
                <c:pt idx="29">
                  <c:v>911</c:v>
                </c:pt>
                <c:pt idx="30">
                  <c:v>942</c:v>
                </c:pt>
                <c:pt idx="31">
                  <c:v>973</c:v>
                </c:pt>
                <c:pt idx="32">
                  <c:v>1003</c:v>
                </c:pt>
                <c:pt idx="33">
                  <c:v>1034</c:v>
                </c:pt>
                <c:pt idx="34">
                  <c:v>1064</c:v>
                </c:pt>
                <c:pt idx="35">
                  <c:v>1095</c:v>
                </c:pt>
                <c:pt idx="36">
                  <c:v>1126</c:v>
                </c:pt>
                <c:pt idx="37">
                  <c:v>1155</c:v>
                </c:pt>
                <c:pt idx="38">
                  <c:v>1186</c:v>
                </c:pt>
                <c:pt idx="39">
                  <c:v>1216</c:v>
                </c:pt>
                <c:pt idx="40">
                  <c:v>1247</c:v>
                </c:pt>
                <c:pt idx="41">
                  <c:v>1277</c:v>
                </c:pt>
                <c:pt idx="42">
                  <c:v>1308</c:v>
                </c:pt>
                <c:pt idx="43">
                  <c:v>1339</c:v>
                </c:pt>
                <c:pt idx="44">
                  <c:v>1369</c:v>
                </c:pt>
                <c:pt idx="45">
                  <c:v>1400</c:v>
                </c:pt>
                <c:pt idx="46">
                  <c:v>1430</c:v>
                </c:pt>
                <c:pt idx="47">
                  <c:v>1461</c:v>
                </c:pt>
                <c:pt idx="48">
                  <c:v>1492</c:v>
                </c:pt>
                <c:pt idx="49">
                  <c:v>1520</c:v>
                </c:pt>
                <c:pt idx="50">
                  <c:v>1551</c:v>
                </c:pt>
                <c:pt idx="51">
                  <c:v>1581</c:v>
                </c:pt>
                <c:pt idx="52">
                  <c:v>1612</c:v>
                </c:pt>
                <c:pt idx="53">
                  <c:v>1642</c:v>
                </c:pt>
                <c:pt idx="54">
                  <c:v>1673</c:v>
                </c:pt>
                <c:pt idx="55">
                  <c:v>1704</c:v>
                </c:pt>
                <c:pt idx="56">
                  <c:v>1734</c:v>
                </c:pt>
                <c:pt idx="57">
                  <c:v>1765</c:v>
                </c:pt>
                <c:pt idx="58">
                  <c:v>1795</c:v>
                </c:pt>
                <c:pt idx="59">
                  <c:v>1826</c:v>
                </c:pt>
                <c:pt idx="60">
                  <c:v>1857</c:v>
                </c:pt>
                <c:pt idx="61">
                  <c:v>1885</c:v>
                </c:pt>
                <c:pt idx="62">
                  <c:v>1916</c:v>
                </c:pt>
                <c:pt idx="63">
                  <c:v>1946</c:v>
                </c:pt>
                <c:pt idx="64">
                  <c:v>1977</c:v>
                </c:pt>
                <c:pt idx="65">
                  <c:v>2007</c:v>
                </c:pt>
                <c:pt idx="66">
                  <c:v>2038</c:v>
                </c:pt>
                <c:pt idx="67">
                  <c:v>2069</c:v>
                </c:pt>
                <c:pt idx="68">
                  <c:v>2099</c:v>
                </c:pt>
                <c:pt idx="69">
                  <c:v>2130</c:v>
                </c:pt>
                <c:pt idx="70">
                  <c:v>2160</c:v>
                </c:pt>
                <c:pt idx="71">
                  <c:v>2191</c:v>
                </c:pt>
                <c:pt idx="72">
                  <c:v>2222</c:v>
                </c:pt>
                <c:pt idx="73">
                  <c:v>2250</c:v>
                </c:pt>
                <c:pt idx="74">
                  <c:v>2281</c:v>
                </c:pt>
                <c:pt idx="75">
                  <c:v>2311</c:v>
                </c:pt>
                <c:pt idx="76">
                  <c:v>2342</c:v>
                </c:pt>
                <c:pt idx="77">
                  <c:v>2372</c:v>
                </c:pt>
                <c:pt idx="78">
                  <c:v>2403</c:v>
                </c:pt>
                <c:pt idx="79">
                  <c:v>2434</c:v>
                </c:pt>
                <c:pt idx="80">
                  <c:v>2464</c:v>
                </c:pt>
              </c:numCache>
            </c:numRef>
          </c:xVal>
          <c:yVal>
            <c:numRef>
              <c:f>SensDualPorosity!$H$26:$H$106</c:f>
              <c:numCache>
                <c:formatCode>0.0</c:formatCode>
                <c:ptCount val="81"/>
                <c:pt idx="0">
                  <c:v>103.6468683734783</c:v>
                </c:pt>
                <c:pt idx="1">
                  <c:v>80.079520324630579</c:v>
                </c:pt>
                <c:pt idx="2">
                  <c:v>61.191625756220809</c:v>
                </c:pt>
                <c:pt idx="3">
                  <c:v>47.713716633948394</c:v>
                </c:pt>
                <c:pt idx="4">
                  <c:v>37.417190094326621</c:v>
                </c:pt>
                <c:pt idx="5">
                  <c:v>30.042302304264609</c:v>
                </c:pt>
                <c:pt idx="6">
                  <c:v>24.387750522777736</c:v>
                </c:pt>
                <c:pt idx="7">
                  <c:v>20.202434858280377</c:v>
                </c:pt>
                <c:pt idx="8">
                  <c:v>17.179380632110867</c:v>
                </c:pt>
                <c:pt idx="9">
                  <c:v>14.836902016078403</c:v>
                </c:pt>
                <c:pt idx="10">
                  <c:v>13.126910767322563</c:v>
                </c:pt>
                <c:pt idx="11">
                  <c:v>11.785302241635405</c:v>
                </c:pt>
                <c:pt idx="12">
                  <c:v>10.759602698262002</c:v>
                </c:pt>
                <c:pt idx="13">
                  <c:v>10.036255514585408</c:v>
                </c:pt>
                <c:pt idx="14">
                  <c:v>9.4032108529209104</c:v>
                </c:pt>
                <c:pt idx="15">
                  <c:v>8.9126705076181008</c:v>
                </c:pt>
                <c:pt idx="16">
                  <c:v>8.5024273933083236</c:v>
                </c:pt>
                <c:pt idx="17">
                  <c:v>8.1749572378837776</c:v>
                </c:pt>
                <c:pt idx="18">
                  <c:v>7.8870120275629736</c:v>
                </c:pt>
                <c:pt idx="19">
                  <c:v>7.6404503033458395</c:v>
                </c:pt>
                <c:pt idx="20">
                  <c:v>7.4323167834009656</c:v>
                </c:pt>
                <c:pt idx="21">
                  <c:v>7.2385009576602108</c:v>
                </c:pt>
                <c:pt idx="22">
                  <c:v>7.0649828576678662</c:v>
                </c:pt>
                <c:pt idx="23">
                  <c:v>6.9010198502411768</c:v>
                </c:pt>
                <c:pt idx="24">
                  <c:v>6.7501214332746349</c:v>
                </c:pt>
                <c:pt idx="25">
                  <c:v>6.6185441045861735</c:v>
                </c:pt>
                <c:pt idx="26">
                  <c:v>6.478671144935304</c:v>
                </c:pt>
                <c:pt idx="27">
                  <c:v>6.3492212147615037</c:v>
                </c:pt>
                <c:pt idx="28">
                  <c:v>6.2228992870377464</c:v>
                </c:pt>
                <c:pt idx="29">
                  <c:v>6.1016653822831328</c:v>
                </c:pt>
                <c:pt idx="30">
                  <c:v>5.9810960208253583</c:v>
                </c:pt>
                <c:pt idx="31">
                  <c:v>5.8612084180384354</c:v>
                </c:pt>
                <c:pt idx="32">
                  <c:v>5.7509523261618565</c:v>
                </c:pt>
                <c:pt idx="33">
                  <c:v>5.6397417294234744</c:v>
                </c:pt>
                <c:pt idx="34">
                  <c:v>5.5322683356557691</c:v>
                </c:pt>
                <c:pt idx="35">
                  <c:v>5.4237542926269047</c:v>
                </c:pt>
                <c:pt idx="36">
                  <c:v>5.3175200676824135</c:v>
                </c:pt>
                <c:pt idx="37">
                  <c:v>5.2220821525151218</c:v>
                </c:pt>
                <c:pt idx="38">
                  <c:v>5.1220047406783555</c:v>
                </c:pt>
                <c:pt idx="39">
                  <c:v>5.0247779568180082</c:v>
                </c:pt>
                <c:pt idx="40">
                  <c:v>4.9280706137355494</c:v>
                </c:pt>
                <c:pt idx="41">
                  <c:v>4.8334320532884156</c:v>
                </c:pt>
                <c:pt idx="42">
                  <c:v>4.7393598678508546</c:v>
                </c:pt>
                <c:pt idx="43">
                  <c:v>4.6493456076870077</c:v>
                </c:pt>
                <c:pt idx="44">
                  <c:v>4.5617702273945335</c:v>
                </c:pt>
                <c:pt idx="45">
                  <c:v>4.4743415106040887</c:v>
                </c:pt>
                <c:pt idx="46">
                  <c:v>4.3908093479825441</c:v>
                </c:pt>
                <c:pt idx="47">
                  <c:v>4.3039274714034148</c:v>
                </c:pt>
                <c:pt idx="48">
                  <c:v>4.2217590199831561</c:v>
                </c:pt>
                <c:pt idx="49">
                  <c:v>4.147994851849016</c:v>
                </c:pt>
                <c:pt idx="50">
                  <c:v>4.066643869535258</c:v>
                </c:pt>
                <c:pt idx="51">
                  <c:v>3.9919129549039125</c:v>
                </c:pt>
                <c:pt idx="52">
                  <c:v>3.9149620421100986</c:v>
                </c:pt>
                <c:pt idx="53">
                  <c:v>3.8398810827654857</c:v>
                </c:pt>
                <c:pt idx="54">
                  <c:v>3.7649799865247688</c:v>
                </c:pt>
                <c:pt idx="55">
                  <c:v>3.6938277321797721</c:v>
                </c:pt>
                <c:pt idx="56">
                  <c:v>3.6239319883623002</c:v>
                </c:pt>
                <c:pt idx="57">
                  <c:v>3.5550031417196237</c:v>
                </c:pt>
                <c:pt idx="58">
                  <c:v>3.4887893467575224</c:v>
                </c:pt>
                <c:pt idx="59">
                  <c:v>3.4216884356481132</c:v>
                </c:pt>
                <c:pt idx="60">
                  <c:v>3.3536504220197538</c:v>
                </c:pt>
                <c:pt idx="61">
                  <c:v>3.2966124907740606</c:v>
                </c:pt>
                <c:pt idx="62">
                  <c:v>3.2317677597427457</c:v>
                </c:pt>
                <c:pt idx="63">
                  <c:v>3.1712588530740375</c:v>
                </c:pt>
                <c:pt idx="64">
                  <c:v>3.1098822042722611</c:v>
                </c:pt>
                <c:pt idx="65">
                  <c:v>3.0531076064619862</c:v>
                </c:pt>
                <c:pt idx="66">
                  <c:v>2.9944837600490013</c:v>
                </c:pt>
                <c:pt idx="67">
                  <c:v>2.9348268386800402</c:v>
                </c:pt>
                <c:pt idx="68">
                  <c:v>2.8814492556465816</c:v>
                </c:pt>
                <c:pt idx="69">
                  <c:v>2.8252917046167982</c:v>
                </c:pt>
                <c:pt idx="70">
                  <c:v>2.7718873400199069</c:v>
                </c:pt>
                <c:pt idx="71">
                  <c:v>2.7183581546589082</c:v>
                </c:pt>
                <c:pt idx="72">
                  <c:v>2.6657603515810431</c:v>
                </c:pt>
                <c:pt idx="73">
                  <c:v>2.6206015897710744</c:v>
                </c:pt>
                <c:pt idx="74">
                  <c:v>2.5699009002373483</c:v>
                </c:pt>
                <c:pt idx="75">
                  <c:v>2.5200877664803616</c:v>
                </c:pt>
                <c:pt idx="76">
                  <c:v>2.474006905596815</c:v>
                </c:pt>
                <c:pt idx="77">
                  <c:v>2.4264828717556086</c:v>
                </c:pt>
                <c:pt idx="78">
                  <c:v>2.3791728409769548</c:v>
                </c:pt>
                <c:pt idx="79">
                  <c:v>2.3331712668248987</c:v>
                </c:pt>
                <c:pt idx="80">
                  <c:v>2.2895010310083457</c:v>
                </c:pt>
              </c:numCache>
            </c:numRef>
          </c:yVal>
          <c:smooth val="1"/>
        </c:ser>
        <c:ser>
          <c:idx val="4"/>
          <c:order val="4"/>
          <c:marker>
            <c:symbol val="none"/>
          </c:marker>
          <c:xVal>
            <c:numRef>
              <c:f>SensDualPorosity!$D$26:$D$106</c:f>
              <c:numCache>
                <c:formatCode>0.0</c:formatCode>
                <c:ptCount val="81"/>
                <c:pt idx="0">
                  <c:v>31</c:v>
                </c:pt>
                <c:pt idx="1">
                  <c:v>59</c:v>
                </c:pt>
                <c:pt idx="2">
                  <c:v>90</c:v>
                </c:pt>
                <c:pt idx="3">
                  <c:v>120</c:v>
                </c:pt>
                <c:pt idx="4">
                  <c:v>151</c:v>
                </c:pt>
                <c:pt idx="5">
                  <c:v>181</c:v>
                </c:pt>
                <c:pt idx="6">
                  <c:v>212</c:v>
                </c:pt>
                <c:pt idx="7">
                  <c:v>243</c:v>
                </c:pt>
                <c:pt idx="8">
                  <c:v>273</c:v>
                </c:pt>
                <c:pt idx="9">
                  <c:v>304</c:v>
                </c:pt>
                <c:pt idx="10">
                  <c:v>334</c:v>
                </c:pt>
                <c:pt idx="11">
                  <c:v>365</c:v>
                </c:pt>
                <c:pt idx="12">
                  <c:v>396</c:v>
                </c:pt>
                <c:pt idx="13">
                  <c:v>424</c:v>
                </c:pt>
                <c:pt idx="14">
                  <c:v>455</c:v>
                </c:pt>
                <c:pt idx="15">
                  <c:v>485</c:v>
                </c:pt>
                <c:pt idx="16">
                  <c:v>516</c:v>
                </c:pt>
                <c:pt idx="17">
                  <c:v>546</c:v>
                </c:pt>
                <c:pt idx="18">
                  <c:v>577</c:v>
                </c:pt>
                <c:pt idx="19">
                  <c:v>608</c:v>
                </c:pt>
                <c:pt idx="20">
                  <c:v>638</c:v>
                </c:pt>
                <c:pt idx="21">
                  <c:v>669</c:v>
                </c:pt>
                <c:pt idx="22">
                  <c:v>699</c:v>
                </c:pt>
                <c:pt idx="23">
                  <c:v>730</c:v>
                </c:pt>
                <c:pt idx="24">
                  <c:v>761</c:v>
                </c:pt>
                <c:pt idx="25">
                  <c:v>789</c:v>
                </c:pt>
                <c:pt idx="26">
                  <c:v>820</c:v>
                </c:pt>
                <c:pt idx="27">
                  <c:v>850</c:v>
                </c:pt>
                <c:pt idx="28">
                  <c:v>881</c:v>
                </c:pt>
                <c:pt idx="29">
                  <c:v>911</c:v>
                </c:pt>
                <c:pt idx="30">
                  <c:v>942</c:v>
                </c:pt>
                <c:pt idx="31">
                  <c:v>973</c:v>
                </c:pt>
                <c:pt idx="32">
                  <c:v>1003</c:v>
                </c:pt>
                <c:pt idx="33">
                  <c:v>1034</c:v>
                </c:pt>
                <c:pt idx="34">
                  <c:v>1064</c:v>
                </c:pt>
                <c:pt idx="35">
                  <c:v>1095</c:v>
                </c:pt>
                <c:pt idx="36">
                  <c:v>1126</c:v>
                </c:pt>
                <c:pt idx="37">
                  <c:v>1155</c:v>
                </c:pt>
                <c:pt idx="38">
                  <c:v>1186</c:v>
                </c:pt>
                <c:pt idx="39">
                  <c:v>1216</c:v>
                </c:pt>
                <c:pt idx="40">
                  <c:v>1247</c:v>
                </c:pt>
                <c:pt idx="41">
                  <c:v>1277</c:v>
                </c:pt>
                <c:pt idx="42">
                  <c:v>1308</c:v>
                </c:pt>
                <c:pt idx="43">
                  <c:v>1339</c:v>
                </c:pt>
                <c:pt idx="44">
                  <c:v>1369</c:v>
                </c:pt>
                <c:pt idx="45">
                  <c:v>1400</c:v>
                </c:pt>
                <c:pt idx="46">
                  <c:v>1430</c:v>
                </c:pt>
                <c:pt idx="47">
                  <c:v>1461</c:v>
                </c:pt>
                <c:pt idx="48">
                  <c:v>1492</c:v>
                </c:pt>
                <c:pt idx="49">
                  <c:v>1520</c:v>
                </c:pt>
                <c:pt idx="50">
                  <c:v>1551</c:v>
                </c:pt>
                <c:pt idx="51">
                  <c:v>1581</c:v>
                </c:pt>
                <c:pt idx="52">
                  <c:v>1612</c:v>
                </c:pt>
                <c:pt idx="53">
                  <c:v>1642</c:v>
                </c:pt>
                <c:pt idx="54">
                  <c:v>1673</c:v>
                </c:pt>
                <c:pt idx="55">
                  <c:v>1704</c:v>
                </c:pt>
                <c:pt idx="56">
                  <c:v>1734</c:v>
                </c:pt>
                <c:pt idx="57">
                  <c:v>1765</c:v>
                </c:pt>
                <c:pt idx="58">
                  <c:v>1795</c:v>
                </c:pt>
                <c:pt idx="59">
                  <c:v>1826</c:v>
                </c:pt>
                <c:pt idx="60">
                  <c:v>1857</c:v>
                </c:pt>
                <c:pt idx="61">
                  <c:v>1885</c:v>
                </c:pt>
                <c:pt idx="62">
                  <c:v>1916</c:v>
                </c:pt>
                <c:pt idx="63">
                  <c:v>1946</c:v>
                </c:pt>
                <c:pt idx="64">
                  <c:v>1977</c:v>
                </c:pt>
                <c:pt idx="65">
                  <c:v>2007</c:v>
                </c:pt>
                <c:pt idx="66">
                  <c:v>2038</c:v>
                </c:pt>
                <c:pt idx="67">
                  <c:v>2069</c:v>
                </c:pt>
                <c:pt idx="68">
                  <c:v>2099</c:v>
                </c:pt>
                <c:pt idx="69">
                  <c:v>2130</c:v>
                </c:pt>
                <c:pt idx="70">
                  <c:v>2160</c:v>
                </c:pt>
                <c:pt idx="71">
                  <c:v>2191</c:v>
                </c:pt>
                <c:pt idx="72">
                  <c:v>2222</c:v>
                </c:pt>
                <c:pt idx="73">
                  <c:v>2250</c:v>
                </c:pt>
                <c:pt idx="74">
                  <c:v>2281</c:v>
                </c:pt>
                <c:pt idx="75">
                  <c:v>2311</c:v>
                </c:pt>
                <c:pt idx="76">
                  <c:v>2342</c:v>
                </c:pt>
                <c:pt idx="77">
                  <c:v>2372</c:v>
                </c:pt>
                <c:pt idx="78">
                  <c:v>2403</c:v>
                </c:pt>
                <c:pt idx="79">
                  <c:v>2434</c:v>
                </c:pt>
                <c:pt idx="80">
                  <c:v>2464</c:v>
                </c:pt>
              </c:numCache>
            </c:numRef>
          </c:xVal>
          <c:yVal>
            <c:numRef>
              <c:f>SensDualPorosity!$I$26:$I$106</c:f>
              <c:numCache>
                <c:formatCode>0.0</c:formatCode>
                <c:ptCount val="81"/>
                <c:pt idx="0">
                  <c:v>103.64888642370417</c:v>
                </c:pt>
                <c:pt idx="1">
                  <c:v>80.087346254498129</c:v>
                </c:pt>
                <c:pt idx="2">
                  <c:v>61.211372051604023</c:v>
                </c:pt>
                <c:pt idx="3">
                  <c:v>47.751063337416738</c:v>
                </c:pt>
                <c:pt idx="4">
                  <c:v>37.478303649031474</c:v>
                </c:pt>
                <c:pt idx="5">
                  <c:v>30.131851852231836</c:v>
                </c:pt>
                <c:pt idx="6">
                  <c:v>24.510704949238189</c:v>
                </c:pt>
                <c:pt idx="7">
                  <c:v>20.36241855876273</c:v>
                </c:pt>
                <c:pt idx="8">
                  <c:v>17.377758917387641</c:v>
                </c:pt>
                <c:pt idx="9">
                  <c:v>15.076883212158336</c:v>
                </c:pt>
                <c:pt idx="10">
                  <c:v>13.408390340249598</c:v>
                </c:pt>
                <c:pt idx="11">
                  <c:v>12.110252991042033</c:v>
                </c:pt>
                <c:pt idx="12">
                  <c:v>11.128184946941277</c:v>
                </c:pt>
                <c:pt idx="13">
                  <c:v>10.444226475614425</c:v>
                </c:pt>
                <c:pt idx="14">
                  <c:v>9.8544041225021051</c:v>
                </c:pt>
                <c:pt idx="15">
                  <c:v>9.4051933528826268</c:v>
                </c:pt>
                <c:pt idx="16">
                  <c:v>9.0368936288186195</c:v>
                </c:pt>
                <c:pt idx="17">
                  <c:v>8.7489095542454631</c:v>
                </c:pt>
                <c:pt idx="18">
                  <c:v>8.5008549440318504</c:v>
                </c:pt>
                <c:pt idx="19">
                  <c:v>8.2930471408008586</c:v>
                </c:pt>
                <c:pt idx="20">
                  <c:v>8.1212686737615805</c:v>
                </c:pt>
                <c:pt idx="21">
                  <c:v>7.9640283252430901</c:v>
                </c:pt>
                <c:pt idx="22">
                  <c:v>7.8246423031927126</c:v>
                </c:pt>
                <c:pt idx="23">
                  <c:v>7.6948511098690773</c:v>
                </c:pt>
                <c:pt idx="24">
                  <c:v>7.5768043489778734</c:v>
                </c:pt>
                <c:pt idx="25">
                  <c:v>7.4739017024730119</c:v>
                </c:pt>
                <c:pt idx="26">
                  <c:v>7.3640942154505789</c:v>
                </c:pt>
                <c:pt idx="27">
                  <c:v>7.2637395531735711</c:v>
                </c:pt>
                <c:pt idx="28">
                  <c:v>7.1658076987979484</c:v>
                </c:pt>
                <c:pt idx="29">
                  <c:v>7.0721748423551034</c:v>
                </c:pt>
                <c:pt idx="30">
                  <c:v>6.9759374263838918</c:v>
                </c:pt>
                <c:pt idx="31">
                  <c:v>6.8819458704540244</c:v>
                </c:pt>
                <c:pt idx="32">
                  <c:v>6.793320824592298</c:v>
                </c:pt>
                <c:pt idx="33">
                  <c:v>6.7067746471173733</c:v>
                </c:pt>
                <c:pt idx="34">
                  <c:v>6.6207274237807221</c:v>
                </c:pt>
                <c:pt idx="35">
                  <c:v>6.5333528944184982</c:v>
                </c:pt>
                <c:pt idx="36">
                  <c:v>6.4473084788301058</c:v>
                </c:pt>
                <c:pt idx="37">
                  <c:v>6.3699128406706995</c:v>
                </c:pt>
                <c:pt idx="38">
                  <c:v>6.2881777853150602</c:v>
                </c:pt>
                <c:pt idx="39">
                  <c:v>6.2079775589924209</c:v>
                </c:pt>
                <c:pt idx="40">
                  <c:v>6.1279375424546361</c:v>
                </c:pt>
                <c:pt idx="41">
                  <c:v>6.0487737799555941</c:v>
                </c:pt>
                <c:pt idx="42">
                  <c:v>5.9697499735089199</c:v>
                </c:pt>
                <c:pt idx="43">
                  <c:v>5.8939157575989594</c:v>
                </c:pt>
                <c:pt idx="44">
                  <c:v>5.8198141506775904</c:v>
                </c:pt>
                <c:pt idx="45">
                  <c:v>5.7449098842355104</c:v>
                </c:pt>
                <c:pt idx="46">
                  <c:v>5.6729949109562829</c:v>
                </c:pt>
                <c:pt idx="47">
                  <c:v>5.5976011734170434</c:v>
                </c:pt>
                <c:pt idx="48">
                  <c:v>5.5241781545057815</c:v>
                </c:pt>
                <c:pt idx="49">
                  <c:v>5.4613988870683716</c:v>
                </c:pt>
                <c:pt idx="50">
                  <c:v>5.3895595741520559</c:v>
                </c:pt>
                <c:pt idx="51">
                  <c:v>5.323326088201517</c:v>
                </c:pt>
                <c:pt idx="52">
                  <c:v>5.2545435421483813</c:v>
                </c:pt>
                <c:pt idx="53">
                  <c:v>5.1869469637853154</c:v>
                </c:pt>
                <c:pt idx="54">
                  <c:v>5.1196233452262465</c:v>
                </c:pt>
                <c:pt idx="55">
                  <c:v>5.0546185293622239</c:v>
                </c:pt>
                <c:pt idx="56">
                  <c:v>4.9902804742362763</c:v>
                </c:pt>
                <c:pt idx="57">
                  <c:v>4.9255335972743284</c:v>
                </c:pt>
                <c:pt idx="58">
                  <c:v>4.8650999664650483</c:v>
                </c:pt>
                <c:pt idx="59">
                  <c:v>4.802485474619095</c:v>
                </c:pt>
                <c:pt idx="60">
                  <c:v>4.7385832342087131</c:v>
                </c:pt>
                <c:pt idx="61">
                  <c:v>4.6829994487405253</c:v>
                </c:pt>
                <c:pt idx="62">
                  <c:v>4.6235495588392936</c:v>
                </c:pt>
                <c:pt idx="63">
                  <c:v>4.5648855008039204</c:v>
                </c:pt>
                <c:pt idx="64">
                  <c:v>4.5057125999540624</c:v>
                </c:pt>
                <c:pt idx="65">
                  <c:v>4.4505051381976877</c:v>
                </c:pt>
                <c:pt idx="66">
                  <c:v>4.39314552407932</c:v>
                </c:pt>
                <c:pt idx="67">
                  <c:v>4.3347800837608146</c:v>
                </c:pt>
                <c:pt idx="68">
                  <c:v>4.2803450945563135</c:v>
                </c:pt>
                <c:pt idx="69">
                  <c:v>4.2265945050149298</c:v>
                </c:pt>
                <c:pt idx="70">
                  <c:v>4.1725076288186207</c:v>
                </c:pt>
                <c:pt idx="71">
                  <c:v>4.1184665517188579</c:v>
                </c:pt>
                <c:pt idx="72">
                  <c:v>4.0651086684021136</c:v>
                </c:pt>
                <c:pt idx="73">
                  <c:v>4.0188885520251132</c:v>
                </c:pt>
                <c:pt idx="74">
                  <c:v>3.9670488345455941</c:v>
                </c:pt>
                <c:pt idx="75">
                  <c:v>3.9157974813567109</c:v>
                </c:pt>
                <c:pt idx="76">
                  <c:v>3.8647343717938902</c:v>
                </c:pt>
                <c:pt idx="77">
                  <c:v>3.818993966005666</c:v>
                </c:pt>
                <c:pt idx="78">
                  <c:v>3.7682838742822149</c:v>
                </c:pt>
                <c:pt idx="79">
                  <c:v>3.7189833585483503</c:v>
                </c:pt>
                <c:pt idx="80">
                  <c:v>3.6723961984534115</c:v>
                </c:pt>
              </c:numCache>
            </c:numRef>
          </c:yVal>
          <c:smooth val="1"/>
        </c:ser>
        <c:ser>
          <c:idx val="5"/>
          <c:order val="5"/>
          <c:marker>
            <c:symbol val="none"/>
          </c:marker>
          <c:xVal>
            <c:numRef>
              <c:f>SensDualPorosity!$D$26:$D$106</c:f>
              <c:numCache>
                <c:formatCode>0.0</c:formatCode>
                <c:ptCount val="81"/>
                <c:pt idx="0">
                  <c:v>31</c:v>
                </c:pt>
                <c:pt idx="1">
                  <c:v>59</c:v>
                </c:pt>
                <c:pt idx="2">
                  <c:v>90</c:v>
                </c:pt>
                <c:pt idx="3">
                  <c:v>120</c:v>
                </c:pt>
                <c:pt idx="4">
                  <c:v>151</c:v>
                </c:pt>
                <c:pt idx="5">
                  <c:v>181</c:v>
                </c:pt>
                <c:pt idx="6">
                  <c:v>212</c:v>
                </c:pt>
                <c:pt idx="7">
                  <c:v>243</c:v>
                </c:pt>
                <c:pt idx="8">
                  <c:v>273</c:v>
                </c:pt>
                <c:pt idx="9">
                  <c:v>304</c:v>
                </c:pt>
                <c:pt idx="10">
                  <c:v>334</c:v>
                </c:pt>
                <c:pt idx="11">
                  <c:v>365</c:v>
                </c:pt>
                <c:pt idx="12">
                  <c:v>396</c:v>
                </c:pt>
                <c:pt idx="13">
                  <c:v>424</c:v>
                </c:pt>
                <c:pt idx="14">
                  <c:v>455</c:v>
                </c:pt>
                <c:pt idx="15">
                  <c:v>485</c:v>
                </c:pt>
                <c:pt idx="16">
                  <c:v>516</c:v>
                </c:pt>
                <c:pt idx="17">
                  <c:v>546</c:v>
                </c:pt>
                <c:pt idx="18">
                  <c:v>577</c:v>
                </c:pt>
                <c:pt idx="19">
                  <c:v>608</c:v>
                </c:pt>
                <c:pt idx="20">
                  <c:v>638</c:v>
                </c:pt>
                <c:pt idx="21">
                  <c:v>669</c:v>
                </c:pt>
                <c:pt idx="22">
                  <c:v>699</c:v>
                </c:pt>
                <c:pt idx="23">
                  <c:v>730</c:v>
                </c:pt>
                <c:pt idx="24">
                  <c:v>761</c:v>
                </c:pt>
                <c:pt idx="25">
                  <c:v>789</c:v>
                </c:pt>
                <c:pt idx="26">
                  <c:v>820</c:v>
                </c:pt>
                <c:pt idx="27">
                  <c:v>850</c:v>
                </c:pt>
                <c:pt idx="28">
                  <c:v>881</c:v>
                </c:pt>
                <c:pt idx="29">
                  <c:v>911</c:v>
                </c:pt>
                <c:pt idx="30">
                  <c:v>942</c:v>
                </c:pt>
                <c:pt idx="31">
                  <c:v>973</c:v>
                </c:pt>
                <c:pt idx="32">
                  <c:v>1003</c:v>
                </c:pt>
                <c:pt idx="33">
                  <c:v>1034</c:v>
                </c:pt>
                <c:pt idx="34">
                  <c:v>1064</c:v>
                </c:pt>
                <c:pt idx="35">
                  <c:v>1095</c:v>
                </c:pt>
                <c:pt idx="36">
                  <c:v>1126</c:v>
                </c:pt>
                <c:pt idx="37">
                  <c:v>1155</c:v>
                </c:pt>
                <c:pt idx="38">
                  <c:v>1186</c:v>
                </c:pt>
                <c:pt idx="39">
                  <c:v>1216</c:v>
                </c:pt>
                <c:pt idx="40">
                  <c:v>1247</c:v>
                </c:pt>
                <c:pt idx="41">
                  <c:v>1277</c:v>
                </c:pt>
                <c:pt idx="42">
                  <c:v>1308</c:v>
                </c:pt>
                <c:pt idx="43">
                  <c:v>1339</c:v>
                </c:pt>
                <c:pt idx="44">
                  <c:v>1369</c:v>
                </c:pt>
                <c:pt idx="45">
                  <c:v>1400</c:v>
                </c:pt>
                <c:pt idx="46">
                  <c:v>1430</c:v>
                </c:pt>
                <c:pt idx="47">
                  <c:v>1461</c:v>
                </c:pt>
                <c:pt idx="48">
                  <c:v>1492</c:v>
                </c:pt>
                <c:pt idx="49">
                  <c:v>1520</c:v>
                </c:pt>
                <c:pt idx="50">
                  <c:v>1551</c:v>
                </c:pt>
                <c:pt idx="51">
                  <c:v>1581</c:v>
                </c:pt>
                <c:pt idx="52">
                  <c:v>1612</c:v>
                </c:pt>
                <c:pt idx="53">
                  <c:v>1642</c:v>
                </c:pt>
                <c:pt idx="54">
                  <c:v>1673</c:v>
                </c:pt>
                <c:pt idx="55">
                  <c:v>1704</c:v>
                </c:pt>
                <c:pt idx="56">
                  <c:v>1734</c:v>
                </c:pt>
                <c:pt idx="57">
                  <c:v>1765</c:v>
                </c:pt>
                <c:pt idx="58">
                  <c:v>1795</c:v>
                </c:pt>
                <c:pt idx="59">
                  <c:v>1826</c:v>
                </c:pt>
                <c:pt idx="60">
                  <c:v>1857</c:v>
                </c:pt>
                <c:pt idx="61">
                  <c:v>1885</c:v>
                </c:pt>
                <c:pt idx="62">
                  <c:v>1916</c:v>
                </c:pt>
                <c:pt idx="63">
                  <c:v>1946</c:v>
                </c:pt>
                <c:pt idx="64">
                  <c:v>1977</c:v>
                </c:pt>
                <c:pt idx="65">
                  <c:v>2007</c:v>
                </c:pt>
                <c:pt idx="66">
                  <c:v>2038</c:v>
                </c:pt>
                <c:pt idx="67">
                  <c:v>2069</c:v>
                </c:pt>
                <c:pt idx="68">
                  <c:v>2099</c:v>
                </c:pt>
                <c:pt idx="69">
                  <c:v>2130</c:v>
                </c:pt>
                <c:pt idx="70">
                  <c:v>2160</c:v>
                </c:pt>
                <c:pt idx="71">
                  <c:v>2191</c:v>
                </c:pt>
                <c:pt idx="72">
                  <c:v>2222</c:v>
                </c:pt>
                <c:pt idx="73">
                  <c:v>2250</c:v>
                </c:pt>
                <c:pt idx="74">
                  <c:v>2281</c:v>
                </c:pt>
                <c:pt idx="75">
                  <c:v>2311</c:v>
                </c:pt>
                <c:pt idx="76">
                  <c:v>2342</c:v>
                </c:pt>
                <c:pt idx="77">
                  <c:v>2372</c:v>
                </c:pt>
                <c:pt idx="78">
                  <c:v>2403</c:v>
                </c:pt>
                <c:pt idx="79">
                  <c:v>2434</c:v>
                </c:pt>
                <c:pt idx="80">
                  <c:v>2464</c:v>
                </c:pt>
              </c:numCache>
            </c:numRef>
          </c:xVal>
          <c:yVal>
            <c:numRef>
              <c:f>SensDualPorosity!$J$26:$J$106</c:f>
              <c:numCache>
                <c:formatCode>0.0</c:formatCode>
                <c:ptCount val="81"/>
                <c:pt idx="0">
                  <c:v>103.64348686195544</c:v>
                </c:pt>
                <c:pt idx="1">
                  <c:v>80.067628374703318</c:v>
                </c:pt>
                <c:pt idx="2">
                  <c:v>61.162370754459843</c:v>
                </c:pt>
                <c:pt idx="3">
                  <c:v>47.658906075798185</c:v>
                </c:pt>
                <c:pt idx="4">
                  <c:v>37.327569517954217</c:v>
                </c:pt>
                <c:pt idx="5">
                  <c:v>29.912261440012252</c:v>
                </c:pt>
                <c:pt idx="6">
                  <c:v>24.209963002220352</c:v>
                </c:pt>
                <c:pt idx="7">
                  <c:v>19.972379892045019</c:v>
                </c:pt>
                <c:pt idx="8">
                  <c:v>16.895741127631883</c:v>
                </c:pt>
                <c:pt idx="9">
                  <c:v>14.495912992420184</c:v>
                </c:pt>
                <c:pt idx="10">
                  <c:v>12.729554954291403</c:v>
                </c:pt>
                <c:pt idx="11">
                  <c:v>11.329551170660746</c:v>
                </c:pt>
                <c:pt idx="12">
                  <c:v>10.245820757369268</c:v>
                </c:pt>
                <c:pt idx="13">
                  <c:v>9.4710295158104287</c:v>
                </c:pt>
                <c:pt idx="14">
                  <c:v>8.7823459459459468</c:v>
                </c:pt>
                <c:pt idx="15">
                  <c:v>8.2395045965852542</c:v>
                </c:pt>
                <c:pt idx="16">
                  <c:v>7.777377093025037</c:v>
                </c:pt>
                <c:pt idx="17">
                  <c:v>7.401522995942118</c:v>
                </c:pt>
                <c:pt idx="18">
                  <c:v>7.0656475502641456</c:v>
                </c:pt>
                <c:pt idx="19">
                  <c:v>6.7734724148227556</c:v>
                </c:pt>
                <c:pt idx="20">
                  <c:v>6.5234678941888067</c:v>
                </c:pt>
                <c:pt idx="21">
                  <c:v>6.2885942356634255</c:v>
                </c:pt>
                <c:pt idx="22">
                  <c:v>6.0774179003139119</c:v>
                </c:pt>
                <c:pt idx="23">
                  <c:v>5.8768147988668558</c:v>
                </c:pt>
                <c:pt idx="24">
                  <c:v>5.6914145080774832</c:v>
                </c:pt>
                <c:pt idx="25">
                  <c:v>5.5304781609371414</c:v>
                </c:pt>
                <c:pt idx="26">
                  <c:v>5.3600923071740301</c:v>
                </c:pt>
                <c:pt idx="27">
                  <c:v>5.2030609948702251</c:v>
                </c:pt>
                <c:pt idx="28">
                  <c:v>5.0501626553862646</c:v>
                </c:pt>
                <c:pt idx="29">
                  <c:v>4.9049753375698648</c:v>
                </c:pt>
                <c:pt idx="30">
                  <c:v>4.7600714442998244</c:v>
                </c:pt>
                <c:pt idx="31">
                  <c:v>4.6203116958885229</c:v>
                </c:pt>
                <c:pt idx="32">
                  <c:v>4.4911781229614887</c:v>
                </c:pt>
                <c:pt idx="33">
                  <c:v>4.3620213406324178</c:v>
                </c:pt>
                <c:pt idx="34">
                  <c:v>4.2387068618023127</c:v>
                </c:pt>
                <c:pt idx="35">
                  <c:v>4.1151541474619098</c:v>
                </c:pt>
                <c:pt idx="36">
                  <c:v>3.9953439612587096</c:v>
                </c:pt>
                <c:pt idx="37">
                  <c:v>3.8886048676211624</c:v>
                </c:pt>
                <c:pt idx="38">
                  <c:v>3.7776799601868163</c:v>
                </c:pt>
                <c:pt idx="39">
                  <c:v>3.6714471023658222</c:v>
                </c:pt>
                <c:pt idx="40">
                  <c:v>3.5658420312380374</c:v>
                </c:pt>
                <c:pt idx="41">
                  <c:v>3.4639992803001305</c:v>
                </c:pt>
                <c:pt idx="42">
                  <c:v>3.3654590931781643</c:v>
                </c:pt>
                <c:pt idx="43">
                  <c:v>3.2686175280606387</c:v>
                </c:pt>
                <c:pt idx="44">
                  <c:v>3.1776591023658223</c:v>
                </c:pt>
                <c:pt idx="45">
                  <c:v>3.0863075312763191</c:v>
                </c:pt>
                <c:pt idx="46">
                  <c:v>2.9986717995559302</c:v>
                </c:pt>
                <c:pt idx="47">
                  <c:v>2.9115360280223568</c:v>
                </c:pt>
                <c:pt idx="48">
                  <c:v>2.8293614171962331</c:v>
                </c:pt>
                <c:pt idx="49">
                  <c:v>2.7540236288186204</c:v>
                </c:pt>
                <c:pt idx="50">
                  <c:v>2.6764435782865021</c:v>
                </c:pt>
                <c:pt idx="51">
                  <c:v>2.6021252997473394</c:v>
                </c:pt>
                <c:pt idx="52">
                  <c:v>2.527480328765026</c:v>
                </c:pt>
                <c:pt idx="53">
                  <c:v>2.4551832040425694</c:v>
                </c:pt>
                <c:pt idx="54">
                  <c:v>2.3857349887451194</c:v>
                </c:pt>
                <c:pt idx="55">
                  <c:v>2.3161123149835392</c:v>
                </c:pt>
                <c:pt idx="56">
                  <c:v>2.2514361586402267</c:v>
                </c:pt>
                <c:pt idx="57">
                  <c:v>2.1878500365975042</c:v>
                </c:pt>
                <c:pt idx="58">
                  <c:v>2.1273116876196312</c:v>
                </c:pt>
                <c:pt idx="59">
                  <c:v>2.0644067068371488</c:v>
                </c:pt>
                <c:pt idx="60">
                  <c:v>2.0045477603552562</c:v>
                </c:pt>
                <c:pt idx="61">
                  <c:v>1.9545679206798869</c:v>
                </c:pt>
                <c:pt idx="62">
                  <c:v>1.8968845537095171</c:v>
                </c:pt>
                <c:pt idx="63">
                  <c:v>1.8439716989510759</c:v>
                </c:pt>
                <c:pt idx="64">
                  <c:v>1.7922026244544831</c:v>
                </c:pt>
                <c:pt idx="65">
                  <c:v>1.7424592332899471</c:v>
                </c:pt>
                <c:pt idx="66">
                  <c:v>1.6905493836612817</c:v>
                </c:pt>
                <c:pt idx="67">
                  <c:v>1.6417115978868388</c:v>
                </c:pt>
                <c:pt idx="68">
                  <c:v>1.5973449238190034</c:v>
                </c:pt>
                <c:pt idx="69">
                  <c:v>1.5508919095015696</c:v>
                </c:pt>
                <c:pt idx="70">
                  <c:v>1.507684133986678</c:v>
                </c:pt>
                <c:pt idx="71">
                  <c:v>1.4642680885077715</c:v>
                </c:pt>
                <c:pt idx="72">
                  <c:v>1.4234796433657455</c:v>
                </c:pt>
                <c:pt idx="73">
                  <c:v>1.3863627889135595</c:v>
                </c:pt>
                <c:pt idx="74">
                  <c:v>1.3447695853303729</c:v>
                </c:pt>
                <c:pt idx="75">
                  <c:v>1.3099575315825742</c:v>
                </c:pt>
                <c:pt idx="76">
                  <c:v>1.2710433089349975</c:v>
                </c:pt>
                <c:pt idx="77">
                  <c:v>1.2351762548043794</c:v>
                </c:pt>
                <c:pt idx="78">
                  <c:v>1.1996237217670929</c:v>
                </c:pt>
                <c:pt idx="79">
                  <c:v>1.1650755890054361</c:v>
                </c:pt>
                <c:pt idx="80">
                  <c:v>1.1336373231758672</c:v>
                </c:pt>
              </c:numCache>
            </c:numRef>
          </c:yVal>
          <c:smooth val="1"/>
        </c:ser>
        <c:ser>
          <c:idx val="6"/>
          <c:order val="6"/>
          <c:marker>
            <c:symbol val="none"/>
          </c:marker>
          <c:xVal>
            <c:numRef>
              <c:f>SensDualPorosity!$D$26:$D$106</c:f>
              <c:numCache>
                <c:formatCode>0.0</c:formatCode>
                <c:ptCount val="81"/>
                <c:pt idx="0">
                  <c:v>31</c:v>
                </c:pt>
                <c:pt idx="1">
                  <c:v>59</c:v>
                </c:pt>
                <c:pt idx="2">
                  <c:v>90</c:v>
                </c:pt>
                <c:pt idx="3">
                  <c:v>120</c:v>
                </c:pt>
                <c:pt idx="4">
                  <c:v>151</c:v>
                </c:pt>
                <c:pt idx="5">
                  <c:v>181</c:v>
                </c:pt>
                <c:pt idx="6">
                  <c:v>212</c:v>
                </c:pt>
                <c:pt idx="7">
                  <c:v>243</c:v>
                </c:pt>
                <c:pt idx="8">
                  <c:v>273</c:v>
                </c:pt>
                <c:pt idx="9">
                  <c:v>304</c:v>
                </c:pt>
                <c:pt idx="10">
                  <c:v>334</c:v>
                </c:pt>
                <c:pt idx="11">
                  <c:v>365</c:v>
                </c:pt>
                <c:pt idx="12">
                  <c:v>396</c:v>
                </c:pt>
                <c:pt idx="13">
                  <c:v>424</c:v>
                </c:pt>
                <c:pt idx="14">
                  <c:v>455</c:v>
                </c:pt>
                <c:pt idx="15">
                  <c:v>485</c:v>
                </c:pt>
                <c:pt idx="16">
                  <c:v>516</c:v>
                </c:pt>
                <c:pt idx="17">
                  <c:v>546</c:v>
                </c:pt>
                <c:pt idx="18">
                  <c:v>577</c:v>
                </c:pt>
                <c:pt idx="19">
                  <c:v>608</c:v>
                </c:pt>
                <c:pt idx="20">
                  <c:v>638</c:v>
                </c:pt>
                <c:pt idx="21">
                  <c:v>669</c:v>
                </c:pt>
                <c:pt idx="22">
                  <c:v>699</c:v>
                </c:pt>
                <c:pt idx="23">
                  <c:v>730</c:v>
                </c:pt>
                <c:pt idx="24">
                  <c:v>761</c:v>
                </c:pt>
                <c:pt idx="25">
                  <c:v>789</c:v>
                </c:pt>
                <c:pt idx="26">
                  <c:v>820</c:v>
                </c:pt>
                <c:pt idx="27">
                  <c:v>850</c:v>
                </c:pt>
                <c:pt idx="28">
                  <c:v>881</c:v>
                </c:pt>
                <c:pt idx="29">
                  <c:v>911</c:v>
                </c:pt>
                <c:pt idx="30">
                  <c:v>942</c:v>
                </c:pt>
                <c:pt idx="31">
                  <c:v>973</c:v>
                </c:pt>
                <c:pt idx="32">
                  <c:v>1003</c:v>
                </c:pt>
                <c:pt idx="33">
                  <c:v>1034</c:v>
                </c:pt>
                <c:pt idx="34">
                  <c:v>1064</c:v>
                </c:pt>
                <c:pt idx="35">
                  <c:v>1095</c:v>
                </c:pt>
                <c:pt idx="36">
                  <c:v>1126</c:v>
                </c:pt>
                <c:pt idx="37">
                  <c:v>1155</c:v>
                </c:pt>
                <c:pt idx="38">
                  <c:v>1186</c:v>
                </c:pt>
                <c:pt idx="39">
                  <c:v>1216</c:v>
                </c:pt>
                <c:pt idx="40">
                  <c:v>1247</c:v>
                </c:pt>
                <c:pt idx="41">
                  <c:v>1277</c:v>
                </c:pt>
                <c:pt idx="42">
                  <c:v>1308</c:v>
                </c:pt>
                <c:pt idx="43">
                  <c:v>1339</c:v>
                </c:pt>
                <c:pt idx="44">
                  <c:v>1369</c:v>
                </c:pt>
                <c:pt idx="45">
                  <c:v>1400</c:v>
                </c:pt>
                <c:pt idx="46">
                  <c:v>1430</c:v>
                </c:pt>
                <c:pt idx="47">
                  <c:v>1461</c:v>
                </c:pt>
                <c:pt idx="48">
                  <c:v>1492</c:v>
                </c:pt>
                <c:pt idx="49">
                  <c:v>1520</c:v>
                </c:pt>
                <c:pt idx="50">
                  <c:v>1551</c:v>
                </c:pt>
                <c:pt idx="51">
                  <c:v>1581</c:v>
                </c:pt>
                <c:pt idx="52">
                  <c:v>1612</c:v>
                </c:pt>
                <c:pt idx="53">
                  <c:v>1642</c:v>
                </c:pt>
                <c:pt idx="54">
                  <c:v>1673</c:v>
                </c:pt>
                <c:pt idx="55">
                  <c:v>1704</c:v>
                </c:pt>
                <c:pt idx="56">
                  <c:v>1734</c:v>
                </c:pt>
                <c:pt idx="57">
                  <c:v>1765</c:v>
                </c:pt>
                <c:pt idx="58">
                  <c:v>1795</c:v>
                </c:pt>
                <c:pt idx="59">
                  <c:v>1826</c:v>
                </c:pt>
                <c:pt idx="60">
                  <c:v>1857</c:v>
                </c:pt>
                <c:pt idx="61">
                  <c:v>1885</c:v>
                </c:pt>
                <c:pt idx="62">
                  <c:v>1916</c:v>
                </c:pt>
                <c:pt idx="63">
                  <c:v>1946</c:v>
                </c:pt>
                <c:pt idx="64">
                  <c:v>1977</c:v>
                </c:pt>
                <c:pt idx="65">
                  <c:v>2007</c:v>
                </c:pt>
                <c:pt idx="66">
                  <c:v>2038</c:v>
                </c:pt>
                <c:pt idx="67">
                  <c:v>2069</c:v>
                </c:pt>
                <c:pt idx="68">
                  <c:v>2099</c:v>
                </c:pt>
                <c:pt idx="69">
                  <c:v>2130</c:v>
                </c:pt>
                <c:pt idx="70">
                  <c:v>2160</c:v>
                </c:pt>
                <c:pt idx="71">
                  <c:v>2191</c:v>
                </c:pt>
                <c:pt idx="72">
                  <c:v>2222</c:v>
                </c:pt>
                <c:pt idx="73">
                  <c:v>2250</c:v>
                </c:pt>
                <c:pt idx="74">
                  <c:v>2281</c:v>
                </c:pt>
                <c:pt idx="75">
                  <c:v>2311</c:v>
                </c:pt>
                <c:pt idx="76">
                  <c:v>2342</c:v>
                </c:pt>
                <c:pt idx="77">
                  <c:v>2372</c:v>
                </c:pt>
                <c:pt idx="78">
                  <c:v>2403</c:v>
                </c:pt>
                <c:pt idx="79">
                  <c:v>2434</c:v>
                </c:pt>
                <c:pt idx="80">
                  <c:v>2464</c:v>
                </c:pt>
              </c:numCache>
            </c:numRef>
          </c:xVal>
          <c:yVal>
            <c:numRef>
              <c:f>SensDualPorosity!$K$26:$K$106</c:f>
              <c:numCache>
                <c:formatCode>0.0</c:formatCode>
                <c:ptCount val="81"/>
                <c:pt idx="0">
                  <c:v>103.63843059658527</c:v>
                </c:pt>
                <c:pt idx="1">
                  <c:v>80.048500483577058</c:v>
                </c:pt>
                <c:pt idx="2">
                  <c:v>61.114849951917925</c:v>
                </c:pt>
                <c:pt idx="3">
                  <c:v>47.570523733404798</c:v>
                </c:pt>
                <c:pt idx="4">
                  <c:v>37.184442757522397</c:v>
                </c:pt>
                <c:pt idx="5">
                  <c:v>29.706057940586483</c:v>
                </c:pt>
                <c:pt idx="6">
                  <c:v>23.930463223030397</c:v>
                </c:pt>
                <c:pt idx="7">
                  <c:v>19.613913805068524</c:v>
                </c:pt>
                <c:pt idx="8">
                  <c:v>16.457873266365517</c:v>
                </c:pt>
                <c:pt idx="9">
                  <c:v>13.974749117066077</c:v>
                </c:pt>
                <c:pt idx="10">
                  <c:v>12.127999848097391</c:v>
                </c:pt>
                <c:pt idx="11">
                  <c:v>10.646456396600566</c:v>
                </c:pt>
                <c:pt idx="12">
                  <c:v>9.4836604979710604</c:v>
                </c:pt>
                <c:pt idx="13">
                  <c:v>8.6403605108337818</c:v>
                </c:pt>
                <c:pt idx="14">
                  <c:v>7.8797137278921987</c:v>
                </c:pt>
                <c:pt idx="15">
                  <c:v>7.2712052547278168</c:v>
                </c:pt>
                <c:pt idx="16">
                  <c:v>6.7455237197764344</c:v>
                </c:pt>
                <c:pt idx="17">
                  <c:v>6.312652511140036</c:v>
                </c:pt>
                <c:pt idx="18">
                  <c:v>5.9223569207564504</c:v>
                </c:pt>
                <c:pt idx="19">
                  <c:v>5.5803950651558072</c:v>
                </c:pt>
                <c:pt idx="20">
                  <c:v>5.2864100350662282</c:v>
                </c:pt>
                <c:pt idx="21">
                  <c:v>5.0094880237347832</c:v>
                </c:pt>
                <c:pt idx="22">
                  <c:v>4.7635228422019757</c:v>
                </c:pt>
                <c:pt idx="23">
                  <c:v>4.5299397335579208</c:v>
                </c:pt>
                <c:pt idx="24">
                  <c:v>4.3155733161319958</c:v>
                </c:pt>
                <c:pt idx="25">
                  <c:v>4.1314791772452342</c:v>
                </c:pt>
                <c:pt idx="26">
                  <c:v>3.9388125818850019</c:v>
                </c:pt>
                <c:pt idx="27">
                  <c:v>3.7632688003981318</c:v>
                </c:pt>
                <c:pt idx="28">
                  <c:v>3.5945405985759136</c:v>
                </c:pt>
                <c:pt idx="29">
                  <c:v>3.4367210881249526</c:v>
                </c:pt>
                <c:pt idx="30">
                  <c:v>3.2814205679503869</c:v>
                </c:pt>
                <c:pt idx="31">
                  <c:v>3.1338772902534267</c:v>
                </c:pt>
                <c:pt idx="32">
                  <c:v>2.9997133000535947</c:v>
                </c:pt>
                <c:pt idx="33">
                  <c:v>2.867442360615573</c:v>
                </c:pt>
                <c:pt idx="34">
                  <c:v>2.7437118444223261</c:v>
                </c:pt>
                <c:pt idx="35">
                  <c:v>2.6198511795421484</c:v>
                </c:pt>
                <c:pt idx="36">
                  <c:v>2.5031229086593676</c:v>
                </c:pt>
                <c:pt idx="37">
                  <c:v>2.4005537833244013</c:v>
                </c:pt>
                <c:pt idx="38">
                  <c:v>2.2942283313681955</c:v>
                </c:pt>
                <c:pt idx="39">
                  <c:v>2.1964052133833554</c:v>
                </c:pt>
                <c:pt idx="40">
                  <c:v>2.0976854066304265</c:v>
                </c:pt>
                <c:pt idx="41">
                  <c:v>2.0070027893729425</c:v>
                </c:pt>
                <c:pt idx="42">
                  <c:v>1.9196425877038512</c:v>
                </c:pt>
                <c:pt idx="43">
                  <c:v>1.8330488640992268</c:v>
                </c:pt>
                <c:pt idx="44">
                  <c:v>1.7563845148150985</c:v>
                </c:pt>
                <c:pt idx="45">
                  <c:v>1.6789222702702704</c:v>
                </c:pt>
                <c:pt idx="46">
                  <c:v>1.6052962877268204</c:v>
                </c:pt>
                <c:pt idx="47">
                  <c:v>1.5334796081463902</c:v>
                </c:pt>
                <c:pt idx="48">
                  <c:v>1.4671901312303806</c:v>
                </c:pt>
                <c:pt idx="49">
                  <c:v>1.4076163521935534</c:v>
                </c:pt>
                <c:pt idx="50">
                  <c:v>1.3464898943419341</c:v>
                </c:pt>
                <c:pt idx="51">
                  <c:v>1.2891624678049154</c:v>
                </c:pt>
                <c:pt idx="52">
                  <c:v>1.2305281538932702</c:v>
                </c:pt>
                <c:pt idx="53">
                  <c:v>1.1775658190031391</c:v>
                </c:pt>
                <c:pt idx="54">
                  <c:v>1.1251908653242479</c:v>
                </c:pt>
                <c:pt idx="55">
                  <c:v>1.0760220445601409</c:v>
                </c:pt>
                <c:pt idx="56">
                  <c:v>1.0309951224255418</c:v>
                </c:pt>
                <c:pt idx="57">
                  <c:v>0.98568207365439098</c:v>
                </c:pt>
                <c:pt idx="58">
                  <c:v>0.94386568026950468</c:v>
                </c:pt>
                <c:pt idx="59">
                  <c:v>0.89991430487711521</c:v>
                </c:pt>
                <c:pt idx="60">
                  <c:v>0.86275372911721926</c:v>
                </c:pt>
                <c:pt idx="61">
                  <c:v>0.82635703453028109</c:v>
                </c:pt>
                <c:pt idx="62">
                  <c:v>0.78975893729423474</c:v>
                </c:pt>
                <c:pt idx="63">
                  <c:v>0.75707897925120593</c:v>
                </c:pt>
                <c:pt idx="64">
                  <c:v>0.72383006125105276</c:v>
                </c:pt>
                <c:pt idx="65">
                  <c:v>0.69108303192711129</c:v>
                </c:pt>
                <c:pt idx="66">
                  <c:v>0.66030454835004981</c:v>
                </c:pt>
                <c:pt idx="67">
                  <c:v>0.63245849689916545</c:v>
                </c:pt>
                <c:pt idx="68">
                  <c:v>0.60495045984227858</c:v>
                </c:pt>
                <c:pt idx="69">
                  <c:v>0.57815644759206797</c:v>
                </c:pt>
                <c:pt idx="70">
                  <c:v>0.5533204010412679</c:v>
                </c:pt>
                <c:pt idx="71">
                  <c:v>0.52989046948931939</c:v>
                </c:pt>
                <c:pt idx="72">
                  <c:v>0.50663479886685558</c:v>
                </c:pt>
                <c:pt idx="73">
                  <c:v>0.48535924814332743</c:v>
                </c:pt>
                <c:pt idx="74">
                  <c:v>0.46452402603169746</c:v>
                </c:pt>
                <c:pt idx="75">
                  <c:v>0.44471457514738538</c:v>
                </c:pt>
                <c:pt idx="76">
                  <c:v>0.42457864818926577</c:v>
                </c:pt>
                <c:pt idx="77">
                  <c:v>0.40612785070055896</c:v>
                </c:pt>
                <c:pt idx="78">
                  <c:v>0.38806617900620172</c:v>
                </c:pt>
                <c:pt idx="79">
                  <c:v>0.37215875400045939</c:v>
                </c:pt>
                <c:pt idx="80">
                  <c:v>0.35717659321644596</c:v>
                </c:pt>
              </c:numCache>
            </c:numRef>
          </c:yVal>
          <c:smooth val="1"/>
        </c:ser>
        <c:axId val="155341568"/>
        <c:axId val="155343488"/>
      </c:scatterChart>
      <c:valAx>
        <c:axId val="155341568"/>
        <c:scaling>
          <c:orientation val="minMax"/>
          <c:max val="2500"/>
          <c:min val="1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days</a:t>
                </a:r>
              </a:p>
            </c:rich>
          </c:tx>
        </c:title>
        <c:numFmt formatCode="General" sourceLinked="0"/>
        <c:tickLblPos val="nextTo"/>
        <c:crossAx val="155343488"/>
        <c:crossesAt val="1"/>
        <c:crossBetween val="midCat"/>
      </c:valAx>
      <c:valAx>
        <c:axId val="155343488"/>
        <c:scaling>
          <c:logBase val="10"/>
          <c:orientation val="minMax"/>
          <c:max val="100"/>
          <c:min val="1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Oil Rate (bopd)</a:t>
                </a:r>
              </a:p>
            </c:rich>
          </c:tx>
          <c:layout>
            <c:manualLayout>
              <c:xMode val="edge"/>
              <c:yMode val="edge"/>
              <c:x val="1.1222541225165909E-2"/>
              <c:y val="0.2758674967085713"/>
            </c:manualLayout>
          </c:layout>
        </c:title>
        <c:numFmt formatCode="0" sourceLinked="0"/>
        <c:minorTickMark val="in"/>
        <c:tickLblPos val="nextTo"/>
        <c:crossAx val="155341568"/>
        <c:crossesAt val="0"/>
        <c:crossBetween val="midCat"/>
      </c:valAx>
      <c:spPr>
        <a:ln>
          <a:solidFill>
            <a:schemeClr val="bg1">
              <a:lumMod val="50000"/>
            </a:schemeClr>
          </a:solidFill>
        </a:ln>
      </c:spPr>
    </c:plotArea>
    <c:plotVisOnly val="1"/>
  </c:chart>
  <c:printSettings>
    <c:headerFooter/>
    <c:pageMargins b="0.75000000000000511" l="0.70000000000000062" r="0.70000000000000062" t="0.75000000000000511" header="0.30000000000000032" footer="0.30000000000000032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>
                <a:solidFill>
                  <a:srgbClr val="FF0000"/>
                </a:solidFill>
              </a:defRPr>
            </a:pPr>
            <a:r>
              <a:rPr lang="en-US" sz="1100">
                <a:solidFill>
                  <a:srgbClr val="FF0000"/>
                </a:solidFill>
              </a:rPr>
              <a:t>Model Geometry &amp; Well Location</a:t>
            </a:r>
          </a:p>
          <a:p>
            <a:pPr>
              <a:defRPr sz="1000">
                <a:solidFill>
                  <a:srgbClr val="FF0000"/>
                </a:solidFill>
              </a:defRPr>
            </a:pPr>
            <a:r>
              <a:rPr lang="en-US" sz="1000">
                <a:solidFill>
                  <a:srgbClr val="FF0000"/>
                </a:solidFill>
              </a:rPr>
              <a:t>Area: 80Acres</a:t>
            </a:r>
          </a:p>
        </c:rich>
      </c:tx>
    </c:title>
    <c:plotArea>
      <c:layout/>
      <c:scatterChart>
        <c:scatterStyle val="lineMarker"/>
        <c:ser>
          <c:idx val="0"/>
          <c:order val="0"/>
          <c:tx>
            <c:v>Res Geometry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SensDualPorosity!$W$9:$W$13</c:f>
              <c:numCache>
                <c:formatCode>General</c:formatCode>
                <c:ptCount val="5"/>
                <c:pt idx="0">
                  <c:v>0</c:v>
                </c:pt>
                <c:pt idx="1">
                  <c:v>2640</c:v>
                </c:pt>
                <c:pt idx="2">
                  <c:v>2640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SensDualPorosity!$X$9:$X$13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1320</c:v>
                </c:pt>
                <c:pt idx="3">
                  <c:v>1320</c:v>
                </c:pt>
                <c:pt idx="4">
                  <c:v>0</c:v>
                </c:pt>
              </c:numCache>
            </c:numRef>
          </c:yVal>
        </c:ser>
        <c:ser>
          <c:idx val="1"/>
          <c:order val="1"/>
          <c:tx>
            <c:v>Well Location</c:v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rgbClr val="00FF00"/>
              </a:solidFill>
              <a:ln>
                <a:noFill/>
              </a:ln>
            </c:spPr>
          </c:marker>
          <c:xVal>
            <c:numRef>
              <c:f>SensDualPorosity!$Y$9</c:f>
              <c:numCache>
                <c:formatCode>General</c:formatCode>
                <c:ptCount val="1"/>
                <c:pt idx="0">
                  <c:v>1320</c:v>
                </c:pt>
              </c:numCache>
            </c:numRef>
          </c:xVal>
          <c:yVal>
            <c:numRef>
              <c:f>SensDualPorosity!$Z$9</c:f>
              <c:numCache>
                <c:formatCode>General</c:formatCode>
                <c:ptCount val="1"/>
                <c:pt idx="0">
                  <c:v>660</c:v>
                </c:pt>
              </c:numCache>
            </c:numRef>
          </c:yVal>
        </c:ser>
        <c:ser>
          <c:idx val="2"/>
          <c:order val="2"/>
          <c:tx>
            <c:v>Fracture Geometry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SensDualPorosity!$AA$9:$AA$10</c:f>
              <c:numCache>
                <c:formatCode>General</c:formatCode>
                <c:ptCount val="2"/>
                <c:pt idx="0">
                  <c:v>1270</c:v>
                </c:pt>
                <c:pt idx="1">
                  <c:v>1370</c:v>
                </c:pt>
              </c:numCache>
            </c:numRef>
          </c:xVal>
          <c:yVal>
            <c:numRef>
              <c:f>SensDualPorosity!$AB$9:$AB$10</c:f>
              <c:numCache>
                <c:formatCode>General</c:formatCode>
                <c:ptCount val="2"/>
                <c:pt idx="0">
                  <c:v>660</c:v>
                </c:pt>
                <c:pt idx="1">
                  <c:v>660</c:v>
                </c:pt>
              </c:numCache>
            </c:numRef>
          </c:yVal>
        </c:ser>
        <c:axId val="155546368"/>
        <c:axId val="155547904"/>
      </c:scatterChart>
      <c:valAx>
        <c:axId val="155546368"/>
        <c:scaling>
          <c:orientation val="minMax"/>
          <c:max val="3000"/>
          <c:min val="0"/>
        </c:scaling>
        <c:axPos val="b"/>
        <c:numFmt formatCode="General" sourceLinked="1"/>
        <c:tickLblPos val="nextTo"/>
        <c:crossAx val="155547904"/>
        <c:crosses val="autoZero"/>
        <c:crossBetween val="midCat"/>
      </c:valAx>
      <c:valAx>
        <c:axId val="155547904"/>
        <c:scaling>
          <c:orientation val="minMax"/>
          <c:max val="3000"/>
          <c:min val="0"/>
        </c:scaling>
        <c:axPos val="l"/>
        <c:numFmt formatCode="General" sourceLinked="1"/>
        <c:tickLblPos val="nextTo"/>
        <c:crossAx val="155546368"/>
        <c:crosses val="autoZero"/>
        <c:crossBetween val="midCat"/>
      </c:valAx>
    </c:plotArea>
    <c:plotVisOnly val="1"/>
  </c:chart>
  <c:spPr>
    <a:ln>
      <a:noFill/>
    </a:ln>
  </c:spPr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9.4236871615012263E-2"/>
          <c:y val="5.0213475467503974E-2"/>
          <c:w val="0.84626974217316164"/>
          <c:h val="0.77223989165439877"/>
        </c:manualLayout>
      </c:layout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SensArea!$D$26:$D$106</c:f>
              <c:numCache>
                <c:formatCode>General</c:formatCode>
                <c:ptCount val="81"/>
                <c:pt idx="0">
                  <c:v>0.79432823472428149</c:v>
                </c:pt>
                <c:pt idx="1">
                  <c:v>0.90157113760595697</c:v>
                </c:pt>
                <c:pt idx="2">
                  <c:v>1.0232929922807541</c:v>
                </c:pt>
                <c:pt idx="3">
                  <c:v>1.1614486138403428</c:v>
                </c:pt>
                <c:pt idx="4">
                  <c:v>1.3182567385564072</c:v>
                </c:pt>
                <c:pt idx="5">
                  <c:v>1.4962356560944334</c:v>
                </c:pt>
                <c:pt idx="6">
                  <c:v>1.6982436524617444</c:v>
                </c:pt>
                <c:pt idx="7">
                  <c:v>1.9275249131909362</c:v>
                </c:pt>
                <c:pt idx="8">
                  <c:v>2.1877616239495525</c:v>
                </c:pt>
                <c:pt idx="9">
                  <c:v>2.4831331052955701</c:v>
                </c:pt>
                <c:pt idx="10">
                  <c:v>2.8183829312644537</c:v>
                </c:pt>
                <c:pt idx="11">
                  <c:v>3.198895109691398</c:v>
                </c:pt>
                <c:pt idx="12">
                  <c:v>3.630780547701014</c:v>
                </c:pt>
                <c:pt idx="13">
                  <c:v>4.1209751909733034</c:v>
                </c:pt>
                <c:pt idx="14">
                  <c:v>4.6773514128719844</c:v>
                </c:pt>
                <c:pt idx="15">
                  <c:v>5.3088444423098871</c:v>
                </c:pt>
                <c:pt idx="16">
                  <c:v>6.0255958607435822</c:v>
                </c:pt>
                <c:pt idx="17">
                  <c:v>6.8391164728142995</c:v>
                </c:pt>
                <c:pt idx="18">
                  <c:v>7.7624711662869235</c:v>
                </c:pt>
                <c:pt idx="19">
                  <c:v>8.8104887300801522</c:v>
                </c:pt>
                <c:pt idx="20">
                  <c:v>10.000000000000011</c:v>
                </c:pt>
                <c:pt idx="21">
                  <c:v>11.350108156723163</c:v>
                </c:pt>
                <c:pt idx="22">
                  <c:v>12.882495516931352</c:v>
                </c:pt>
                <c:pt idx="23">
                  <c:v>14.621771744567194</c:v>
                </c:pt>
                <c:pt idx="24">
                  <c:v>16.595869074375621</c:v>
                </c:pt>
                <c:pt idx="25">
                  <c:v>18.83649089489802</c:v>
                </c:pt>
                <c:pt idx="26">
                  <c:v>21.379620895022335</c:v>
                </c:pt>
                <c:pt idx="27">
                  <c:v>24.266100950824168</c:v>
                </c:pt>
                <c:pt idx="28">
                  <c:v>27.542287033381665</c:v>
                </c:pt>
                <c:pt idx="29">
                  <c:v>31.260793671239547</c:v>
                </c:pt>
                <c:pt idx="30">
                  <c:v>35.481338923357541</c:v>
                </c:pt>
                <c:pt idx="31">
                  <c:v>40.271703432545898</c:v>
                </c:pt>
                <c:pt idx="32">
                  <c:v>45.708818961487488</c:v>
                </c:pt>
                <c:pt idx="33">
                  <c:v>51.880003892896092</c:v>
                </c:pt>
                <c:pt idx="34">
                  <c:v>58.884365535558842</c:v>
                </c:pt>
                <c:pt idx="35">
                  <c:v>66.834391756861422</c:v>
                </c:pt>
                <c:pt idx="36">
                  <c:v>75.85775750291829</c:v>
                </c:pt>
                <c:pt idx="37">
                  <c:v>86.099375218459997</c:v>
                </c:pt>
                <c:pt idx="38">
                  <c:v>97.723722095580953</c:v>
                </c:pt>
                <c:pt idx="39">
                  <c:v>110.91748152624001</c:v>
                </c:pt>
                <c:pt idx="40">
                  <c:v>125.89254117941665</c:v>
                </c:pt>
                <c:pt idx="41">
                  <c:v>142.88939585111027</c:v>
                </c:pt>
                <c:pt idx="42">
                  <c:v>162.18100973589304</c:v>
                </c:pt>
                <c:pt idx="43">
                  <c:v>184.07720014689568</c:v>
                </c:pt>
                <c:pt idx="44">
                  <c:v>208.92961308540416</c:v>
                </c:pt>
                <c:pt idx="45">
                  <c:v>237.13737056616583</c:v>
                </c:pt>
                <c:pt idx="46">
                  <c:v>269.15348039269202</c:v>
                </c:pt>
                <c:pt idx="47">
                  <c:v>305.49211132155193</c:v>
                </c:pt>
                <c:pt idx="48">
                  <c:v>346.73685045253245</c:v>
                </c:pt>
                <c:pt idx="49">
                  <c:v>393.55007545577854</c:v>
                </c:pt>
                <c:pt idx="50">
                  <c:v>446.6835921509645</c:v>
                </c:pt>
                <c:pt idx="51">
                  <c:v>506.99070827470609</c:v>
                </c:pt>
                <c:pt idx="52">
                  <c:v>575.43993733715911</c:v>
                </c:pt>
                <c:pt idx="53">
                  <c:v>653.13055264747504</c:v>
                </c:pt>
                <c:pt idx="54">
                  <c:v>741.31024130092089</c:v>
                </c:pt>
                <c:pt idx="55">
                  <c:v>841.39514164519926</c:v>
                </c:pt>
                <c:pt idx="56">
                  <c:v>954.99258602144096</c:v>
                </c:pt>
                <c:pt idx="57">
                  <c:v>1083.9269140212107</c:v>
                </c:pt>
                <c:pt idx="58">
                  <c:v>1230.2687708123901</c:v>
                </c:pt>
                <c:pt idx="59">
                  <c:v>1396.3683610559478</c:v>
                </c:pt>
                <c:pt idx="60">
                  <c:v>1584.8931924611256</c:v>
                </c:pt>
                <c:pt idx="61">
                  <c:v>1798.8709151288022</c:v>
                </c:pt>
                <c:pt idx="62">
                  <c:v>2041.7379446695463</c:v>
                </c:pt>
                <c:pt idx="63">
                  <c:v>2317.3946499684989</c:v>
                </c:pt>
                <c:pt idx="64">
                  <c:v>2630.2679918954059</c:v>
                </c:pt>
                <c:pt idx="65">
                  <c:v>2985.3826189179877</c:v>
                </c:pt>
                <c:pt idx="66">
                  <c:v>3388.4415613920555</c:v>
                </c:pt>
                <c:pt idx="67">
                  <c:v>3845.9178204535747</c:v>
                </c:pt>
                <c:pt idx="68">
                  <c:v>4365.1583224017013</c:v>
                </c:pt>
                <c:pt idx="69">
                  <c:v>4954.501908047956</c:v>
                </c:pt>
                <c:pt idx="70">
                  <c:v>5623.4132519035493</c:v>
                </c:pt>
                <c:pt idx="71">
                  <c:v>6382.6348619055607</c:v>
                </c:pt>
                <c:pt idx="72">
                  <c:v>7244.3596007499809</c:v>
                </c:pt>
                <c:pt idx="73">
                  <c:v>8222.4264994708137</c:v>
                </c:pt>
                <c:pt idx="74">
                  <c:v>9332.54300797002</c:v>
                </c:pt>
                <c:pt idx="75">
                  <c:v>10592.537251773008</c:v>
                </c:pt>
                <c:pt idx="76">
                  <c:v>12022.644346174258</c:v>
                </c:pt>
                <c:pt idx="77">
                  <c:v>13645.831365889386</c:v>
                </c:pt>
                <c:pt idx="78">
                  <c:v>15488.166189124964</c:v>
                </c:pt>
                <c:pt idx="79">
                  <c:v>17579.236139587087</c:v>
                </c:pt>
                <c:pt idx="80">
                  <c:v>19952.62314968897</c:v>
                </c:pt>
              </c:numCache>
            </c:numRef>
          </c:xVal>
          <c:yVal>
            <c:numRef>
              <c:f>SensArea!$E$26:$E$106</c:f>
              <c:numCache>
                <c:formatCode>0.0</c:formatCode>
                <c:ptCount val="81"/>
                <c:pt idx="0">
                  <c:v>94.322461844881715</c:v>
                </c:pt>
                <c:pt idx="1">
                  <c:v>93.007061468034621</c:v>
                </c:pt>
                <c:pt idx="2">
                  <c:v>91.669432062782334</c:v>
                </c:pt>
                <c:pt idx="3">
                  <c:v>90.299322677589771</c:v>
                </c:pt>
                <c:pt idx="4">
                  <c:v>88.88916161840595</c:v>
                </c:pt>
                <c:pt idx="5">
                  <c:v>87.430738842355112</c:v>
                </c:pt>
                <c:pt idx="6">
                  <c:v>85.920785581961582</c:v>
                </c:pt>
                <c:pt idx="7">
                  <c:v>84.355955760202136</c:v>
                </c:pt>
                <c:pt idx="8">
                  <c:v>82.735864153740152</c:v>
                </c:pt>
                <c:pt idx="9">
                  <c:v>81.060806156343318</c:v>
                </c:pt>
                <c:pt idx="10">
                  <c:v>79.332303412296156</c:v>
                </c:pt>
                <c:pt idx="11">
                  <c:v>77.552158642523537</c:v>
                </c:pt>
                <c:pt idx="12">
                  <c:v>75.721886765485038</c:v>
                </c:pt>
                <c:pt idx="13">
                  <c:v>73.841738403031925</c:v>
                </c:pt>
                <c:pt idx="14">
                  <c:v>71.909898278386052</c:v>
                </c:pt>
                <c:pt idx="15">
                  <c:v>69.922014562284673</c:v>
                </c:pt>
                <c:pt idx="16">
                  <c:v>67.869148907587473</c:v>
                </c:pt>
                <c:pt idx="17">
                  <c:v>65.737613882397994</c:v>
                </c:pt>
                <c:pt idx="18">
                  <c:v>63.510527584717863</c:v>
                </c:pt>
                <c:pt idx="19">
                  <c:v>61.166682657836304</c:v>
                </c:pt>
                <c:pt idx="20">
                  <c:v>58.684130736543914</c:v>
                </c:pt>
                <c:pt idx="21">
                  <c:v>56.042510476992575</c:v>
                </c:pt>
                <c:pt idx="22">
                  <c:v>53.225028829645517</c:v>
                </c:pt>
                <c:pt idx="23">
                  <c:v>50.221738991654547</c:v>
                </c:pt>
                <c:pt idx="24">
                  <c:v>47.031103317969531</c:v>
                </c:pt>
                <c:pt idx="25">
                  <c:v>43.661090847255196</c:v>
                </c:pt>
                <c:pt idx="26">
                  <c:v>40.130893815940588</c:v>
                </c:pt>
                <c:pt idx="27">
                  <c:v>36.469648021897257</c:v>
                </c:pt>
                <c:pt idx="28">
                  <c:v>32.717511774289868</c:v>
                </c:pt>
                <c:pt idx="29">
                  <c:v>28.924363710282524</c:v>
                </c:pt>
                <c:pt idx="30">
                  <c:v>25.149119564964401</c:v>
                </c:pt>
                <c:pt idx="31">
                  <c:v>21.457735366204734</c:v>
                </c:pt>
                <c:pt idx="32">
                  <c:v>17.920003680882015</c:v>
                </c:pt>
                <c:pt idx="33">
                  <c:v>14.605949096393845</c:v>
                </c:pt>
                <c:pt idx="34">
                  <c:v>11.580698223413217</c:v>
                </c:pt>
                <c:pt idx="35">
                  <c:v>8.8988484788301054</c:v>
                </c:pt>
                <c:pt idx="36">
                  <c:v>6.5990742267820233</c:v>
                </c:pt>
                <c:pt idx="37">
                  <c:v>4.7000284759206803</c:v>
                </c:pt>
                <c:pt idx="38">
                  <c:v>3.1974673285353346</c:v>
                </c:pt>
                <c:pt idx="39">
                  <c:v>2.0647460153127635</c:v>
                </c:pt>
                <c:pt idx="40">
                  <c:v>1.2565535115228543</c:v>
                </c:pt>
                <c:pt idx="41">
                  <c:v>0.71480466748334737</c:v>
                </c:pt>
                <c:pt idx="42">
                  <c:v>0.37667386218513138</c:v>
                </c:pt>
                <c:pt idx="43">
                  <c:v>0.1822680128627211</c:v>
                </c:pt>
                <c:pt idx="44">
                  <c:v>8.0427257484113016E-2</c:v>
                </c:pt>
                <c:pt idx="45">
                  <c:v>3.2526685399280303E-2</c:v>
                </c:pt>
                <c:pt idx="46">
                  <c:v>1.235766771303882E-2</c:v>
                </c:pt>
                <c:pt idx="47">
                  <c:v>4.4866365515657302E-3</c:v>
                </c:pt>
                <c:pt idx="48">
                  <c:v>1.9187748258173191E-3</c:v>
                </c:pt>
                <c:pt idx="49">
                  <c:v>-1.0141888063701096E-4</c:v>
                </c:pt>
                <c:pt idx="50">
                  <c:v>1.5226705459000076E-5</c:v>
                </c:pt>
                <c:pt idx="51">
                  <c:v>-5.3978271189036062E-4</c:v>
                </c:pt>
                <c:pt idx="52">
                  <c:v>-1.1842275476609755E-3</c:v>
                </c:pt>
                <c:pt idx="53">
                  <c:v>-1.0238560600260317E-3</c:v>
                </c:pt>
                <c:pt idx="54">
                  <c:v>-1.1739805527907512E-4</c:v>
                </c:pt>
                <c:pt idx="55">
                  <c:v>5.6326774366434422E-5</c:v>
                </c:pt>
                <c:pt idx="56">
                  <c:v>6.1556802695046328E-4</c:v>
                </c:pt>
                <c:pt idx="57">
                  <c:v>-2.1284036444376388E-4</c:v>
                </c:pt>
                <c:pt idx="58">
                  <c:v>3.1803077865400813E-6</c:v>
                </c:pt>
                <c:pt idx="59">
                  <c:v>-1.8935762958425849E-5</c:v>
                </c:pt>
                <c:pt idx="60">
                  <c:v>2.55519332363525E-4</c:v>
                </c:pt>
                <c:pt idx="61">
                  <c:v>-7.3405252277773534E-5</c:v>
                </c:pt>
                <c:pt idx="62">
                  <c:v>8.5371717326391547E-6</c:v>
                </c:pt>
                <c:pt idx="63">
                  <c:v>3.0093254727815634E-5</c:v>
                </c:pt>
                <c:pt idx="64">
                  <c:v>-5.6122348977873057E-5</c:v>
                </c:pt>
                <c:pt idx="65">
                  <c:v>-2.1120542071816862E-4</c:v>
                </c:pt>
                <c:pt idx="66">
                  <c:v>-1.9280346068448054E-4</c:v>
                </c:pt>
                <c:pt idx="67">
                  <c:v>-1.6159206798866858E-4</c:v>
                </c:pt>
                <c:pt idx="68">
                  <c:v>-2.3958058341627748E-4</c:v>
                </c:pt>
                <c:pt idx="69">
                  <c:v>-2.1236168746650334E-4</c:v>
                </c:pt>
                <c:pt idx="70">
                  <c:v>-5.5555011101753312E-5</c:v>
                </c:pt>
                <c:pt idx="71">
                  <c:v>1.0886088354643596E-4</c:v>
                </c:pt>
                <c:pt idx="72">
                  <c:v>-2.5738396753694203E-4</c:v>
                </c:pt>
                <c:pt idx="73">
                  <c:v>1.2807457315672615E-4</c:v>
                </c:pt>
                <c:pt idx="74">
                  <c:v>-1.3208636398438099E-5</c:v>
                </c:pt>
                <c:pt idx="75">
                  <c:v>-2.2739912717249829E-5</c:v>
                </c:pt>
                <c:pt idx="76">
                  <c:v>8.302794579281832E-5</c:v>
                </c:pt>
                <c:pt idx="77">
                  <c:v>-1.0800872827501724E-4</c:v>
                </c:pt>
                <c:pt idx="78">
                  <c:v>2.2290176862414825E-5</c:v>
                </c:pt>
                <c:pt idx="79">
                  <c:v>5.3345838756603633E-5</c:v>
                </c:pt>
                <c:pt idx="80">
                  <c:v>2.083025802005972E-5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SensArea!$D$26:$D$106</c:f>
              <c:numCache>
                <c:formatCode>General</c:formatCode>
                <c:ptCount val="81"/>
                <c:pt idx="0">
                  <c:v>0.79432823472428149</c:v>
                </c:pt>
                <c:pt idx="1">
                  <c:v>0.90157113760595697</c:v>
                </c:pt>
                <c:pt idx="2">
                  <c:v>1.0232929922807541</c:v>
                </c:pt>
                <c:pt idx="3">
                  <c:v>1.1614486138403428</c:v>
                </c:pt>
                <c:pt idx="4">
                  <c:v>1.3182567385564072</c:v>
                </c:pt>
                <c:pt idx="5">
                  <c:v>1.4962356560944334</c:v>
                </c:pt>
                <c:pt idx="6">
                  <c:v>1.6982436524617444</c:v>
                </c:pt>
                <c:pt idx="7">
                  <c:v>1.9275249131909362</c:v>
                </c:pt>
                <c:pt idx="8">
                  <c:v>2.1877616239495525</c:v>
                </c:pt>
                <c:pt idx="9">
                  <c:v>2.4831331052955701</c:v>
                </c:pt>
                <c:pt idx="10">
                  <c:v>2.8183829312644537</c:v>
                </c:pt>
                <c:pt idx="11">
                  <c:v>3.198895109691398</c:v>
                </c:pt>
                <c:pt idx="12">
                  <c:v>3.630780547701014</c:v>
                </c:pt>
                <c:pt idx="13">
                  <c:v>4.1209751909733034</c:v>
                </c:pt>
                <c:pt idx="14">
                  <c:v>4.6773514128719844</c:v>
                </c:pt>
                <c:pt idx="15">
                  <c:v>5.3088444423098871</c:v>
                </c:pt>
                <c:pt idx="16">
                  <c:v>6.0255958607435822</c:v>
                </c:pt>
                <c:pt idx="17">
                  <c:v>6.8391164728142995</c:v>
                </c:pt>
                <c:pt idx="18">
                  <c:v>7.7624711662869235</c:v>
                </c:pt>
                <c:pt idx="19">
                  <c:v>8.8104887300801522</c:v>
                </c:pt>
                <c:pt idx="20">
                  <c:v>10.000000000000011</c:v>
                </c:pt>
                <c:pt idx="21">
                  <c:v>11.350108156723163</c:v>
                </c:pt>
                <c:pt idx="22">
                  <c:v>12.882495516931352</c:v>
                </c:pt>
                <c:pt idx="23">
                  <c:v>14.621771744567194</c:v>
                </c:pt>
                <c:pt idx="24">
                  <c:v>16.595869074375621</c:v>
                </c:pt>
                <c:pt idx="25">
                  <c:v>18.83649089489802</c:v>
                </c:pt>
                <c:pt idx="26">
                  <c:v>21.379620895022335</c:v>
                </c:pt>
                <c:pt idx="27">
                  <c:v>24.266100950824168</c:v>
                </c:pt>
                <c:pt idx="28">
                  <c:v>27.542287033381665</c:v>
                </c:pt>
                <c:pt idx="29">
                  <c:v>31.260793671239547</c:v>
                </c:pt>
                <c:pt idx="30">
                  <c:v>35.481338923357541</c:v>
                </c:pt>
                <c:pt idx="31">
                  <c:v>40.271703432545898</c:v>
                </c:pt>
                <c:pt idx="32">
                  <c:v>45.708818961487488</c:v>
                </c:pt>
                <c:pt idx="33">
                  <c:v>51.880003892896092</c:v>
                </c:pt>
                <c:pt idx="34">
                  <c:v>58.884365535558842</c:v>
                </c:pt>
                <c:pt idx="35">
                  <c:v>66.834391756861422</c:v>
                </c:pt>
                <c:pt idx="36">
                  <c:v>75.85775750291829</c:v>
                </c:pt>
                <c:pt idx="37">
                  <c:v>86.099375218459997</c:v>
                </c:pt>
                <c:pt idx="38">
                  <c:v>97.723722095580953</c:v>
                </c:pt>
                <c:pt idx="39">
                  <c:v>110.91748152624001</c:v>
                </c:pt>
                <c:pt idx="40">
                  <c:v>125.89254117941665</c:v>
                </c:pt>
                <c:pt idx="41">
                  <c:v>142.88939585111027</c:v>
                </c:pt>
                <c:pt idx="42">
                  <c:v>162.18100973589304</c:v>
                </c:pt>
                <c:pt idx="43">
                  <c:v>184.07720014689568</c:v>
                </c:pt>
                <c:pt idx="44">
                  <c:v>208.92961308540416</c:v>
                </c:pt>
                <c:pt idx="45">
                  <c:v>237.13737056616583</c:v>
                </c:pt>
                <c:pt idx="46">
                  <c:v>269.15348039269202</c:v>
                </c:pt>
                <c:pt idx="47">
                  <c:v>305.49211132155193</c:v>
                </c:pt>
                <c:pt idx="48">
                  <c:v>346.73685045253245</c:v>
                </c:pt>
                <c:pt idx="49">
                  <c:v>393.55007545577854</c:v>
                </c:pt>
                <c:pt idx="50">
                  <c:v>446.6835921509645</c:v>
                </c:pt>
                <c:pt idx="51">
                  <c:v>506.99070827470609</c:v>
                </c:pt>
                <c:pt idx="52">
                  <c:v>575.43993733715911</c:v>
                </c:pt>
                <c:pt idx="53">
                  <c:v>653.13055264747504</c:v>
                </c:pt>
                <c:pt idx="54">
                  <c:v>741.31024130092089</c:v>
                </c:pt>
                <c:pt idx="55">
                  <c:v>841.39514164519926</c:v>
                </c:pt>
                <c:pt idx="56">
                  <c:v>954.99258602144096</c:v>
                </c:pt>
                <c:pt idx="57">
                  <c:v>1083.9269140212107</c:v>
                </c:pt>
                <c:pt idx="58">
                  <c:v>1230.2687708123901</c:v>
                </c:pt>
                <c:pt idx="59">
                  <c:v>1396.3683610559478</c:v>
                </c:pt>
                <c:pt idx="60">
                  <c:v>1584.8931924611256</c:v>
                </c:pt>
                <c:pt idx="61">
                  <c:v>1798.8709151288022</c:v>
                </c:pt>
                <c:pt idx="62">
                  <c:v>2041.7379446695463</c:v>
                </c:pt>
                <c:pt idx="63">
                  <c:v>2317.3946499684989</c:v>
                </c:pt>
                <c:pt idx="64">
                  <c:v>2630.2679918954059</c:v>
                </c:pt>
                <c:pt idx="65">
                  <c:v>2985.3826189179877</c:v>
                </c:pt>
                <c:pt idx="66">
                  <c:v>3388.4415613920555</c:v>
                </c:pt>
                <c:pt idx="67">
                  <c:v>3845.9178204535747</c:v>
                </c:pt>
                <c:pt idx="68">
                  <c:v>4365.1583224017013</c:v>
                </c:pt>
                <c:pt idx="69">
                  <c:v>4954.501908047956</c:v>
                </c:pt>
                <c:pt idx="70">
                  <c:v>5623.4132519035493</c:v>
                </c:pt>
                <c:pt idx="71">
                  <c:v>6382.6348619055607</c:v>
                </c:pt>
                <c:pt idx="72">
                  <c:v>7244.3596007499809</c:v>
                </c:pt>
                <c:pt idx="73">
                  <c:v>8222.4264994708137</c:v>
                </c:pt>
                <c:pt idx="74">
                  <c:v>9332.54300797002</c:v>
                </c:pt>
                <c:pt idx="75">
                  <c:v>10592.537251773008</c:v>
                </c:pt>
                <c:pt idx="76">
                  <c:v>12022.644346174258</c:v>
                </c:pt>
                <c:pt idx="77">
                  <c:v>13645.831365889386</c:v>
                </c:pt>
                <c:pt idx="78">
                  <c:v>15488.166189124964</c:v>
                </c:pt>
                <c:pt idx="79">
                  <c:v>17579.236139587087</c:v>
                </c:pt>
                <c:pt idx="80">
                  <c:v>19952.62314968897</c:v>
                </c:pt>
              </c:numCache>
            </c:numRef>
          </c:xVal>
          <c:yVal>
            <c:numRef>
              <c:f>SensArea!$F$26:$F$106</c:f>
              <c:numCache>
                <c:formatCode>0.0</c:formatCode>
                <c:ptCount val="81"/>
                <c:pt idx="0">
                  <c:v>94.805754007350131</c:v>
                </c:pt>
                <c:pt idx="1">
                  <c:v>93.608392117908281</c:v>
                </c:pt>
                <c:pt idx="2">
                  <c:v>92.437058643748571</c:v>
                </c:pt>
                <c:pt idx="3">
                  <c:v>91.287665426230774</c:v>
                </c:pt>
                <c:pt idx="4">
                  <c:v>90.155326167981016</c:v>
                </c:pt>
                <c:pt idx="5">
                  <c:v>89.033326036138135</c:v>
                </c:pt>
                <c:pt idx="6">
                  <c:v>87.913655694051002</c:v>
                </c:pt>
                <c:pt idx="7">
                  <c:v>86.787423743051846</c:v>
                </c:pt>
                <c:pt idx="8">
                  <c:v>85.64514285828038</c:v>
                </c:pt>
                <c:pt idx="9">
                  <c:v>84.477674361228097</c:v>
                </c:pt>
                <c:pt idx="10">
                  <c:v>83.276594540387421</c:v>
                </c:pt>
                <c:pt idx="11">
                  <c:v>82.034614739912712</c:v>
                </c:pt>
                <c:pt idx="12">
                  <c:v>80.745795890513747</c:v>
                </c:pt>
                <c:pt idx="13">
                  <c:v>79.404899836919085</c:v>
                </c:pt>
                <c:pt idx="14">
                  <c:v>78.006609029630198</c:v>
                </c:pt>
                <c:pt idx="15">
                  <c:v>76.544672066763653</c:v>
                </c:pt>
                <c:pt idx="16">
                  <c:v>75.010707380598745</c:v>
                </c:pt>
                <c:pt idx="17">
                  <c:v>73.393147378148697</c:v>
                </c:pt>
                <c:pt idx="18">
                  <c:v>71.677490501339875</c:v>
                </c:pt>
                <c:pt idx="19">
                  <c:v>69.845834775591456</c:v>
                </c:pt>
                <c:pt idx="20">
                  <c:v>67.878606117602018</c:v>
                </c:pt>
                <c:pt idx="21">
                  <c:v>65.754863262231083</c:v>
                </c:pt>
                <c:pt idx="22">
                  <c:v>63.455040387259785</c:v>
                </c:pt>
                <c:pt idx="23">
                  <c:v>60.96203931597887</c:v>
                </c:pt>
                <c:pt idx="24">
                  <c:v>58.263014699333901</c:v>
                </c:pt>
                <c:pt idx="25">
                  <c:v>55.350555319960193</c:v>
                </c:pt>
                <c:pt idx="26">
                  <c:v>52.224118536406095</c:v>
                </c:pt>
                <c:pt idx="27">
                  <c:v>48.890299856825663</c:v>
                </c:pt>
                <c:pt idx="28">
                  <c:v>45.363960911415667</c:v>
                </c:pt>
                <c:pt idx="29">
                  <c:v>41.668845543220279</c:v>
                </c:pt>
                <c:pt idx="30">
                  <c:v>37.83810710068142</c:v>
                </c:pt>
                <c:pt idx="31">
                  <c:v>33.915231463287654</c:v>
                </c:pt>
                <c:pt idx="32">
                  <c:v>29.953271347216905</c:v>
                </c:pt>
                <c:pt idx="33">
                  <c:v>26.014044475001914</c:v>
                </c:pt>
                <c:pt idx="34">
                  <c:v>22.166852682336732</c:v>
                </c:pt>
                <c:pt idx="35">
                  <c:v>18.484971927264379</c:v>
                </c:pt>
                <c:pt idx="36">
                  <c:v>15.04116601102519</c:v>
                </c:pt>
                <c:pt idx="37">
                  <c:v>11.903095355179543</c:v>
                </c:pt>
                <c:pt idx="38">
                  <c:v>9.1267626863180471</c:v>
                </c:pt>
                <c:pt idx="39">
                  <c:v>6.7515549362223419</c:v>
                </c:pt>
                <c:pt idx="40">
                  <c:v>4.7952770982313755</c:v>
                </c:pt>
                <c:pt idx="41">
                  <c:v>3.2518554491999083</c:v>
                </c:pt>
                <c:pt idx="42">
                  <c:v>2.0922899733557925</c:v>
                </c:pt>
                <c:pt idx="43">
                  <c:v>1.2681552940816172</c:v>
                </c:pt>
                <c:pt idx="44">
                  <c:v>0.71809726085292092</c:v>
                </c:pt>
                <c:pt idx="45">
                  <c:v>0.37656809983921602</c:v>
                </c:pt>
                <c:pt idx="46">
                  <c:v>0.18109573753923897</c:v>
                </c:pt>
                <c:pt idx="47">
                  <c:v>7.9188607763570937E-2</c:v>
                </c:pt>
                <c:pt idx="48">
                  <c:v>3.215801960033688E-2</c:v>
                </c:pt>
                <c:pt idx="49">
                  <c:v>1.1672533496669475E-2</c:v>
                </c:pt>
                <c:pt idx="50">
                  <c:v>5.1217131919454872E-3</c:v>
                </c:pt>
                <c:pt idx="51">
                  <c:v>1.9958482505168058E-3</c:v>
                </c:pt>
                <c:pt idx="52">
                  <c:v>-1.3995053977490239E-4</c:v>
                </c:pt>
                <c:pt idx="53">
                  <c:v>-1.0138185437562209E-3</c:v>
                </c:pt>
                <c:pt idx="54">
                  <c:v>-6.4795727739070514E-4</c:v>
                </c:pt>
                <c:pt idx="55">
                  <c:v>-7.2776632723374945E-4</c:v>
                </c:pt>
                <c:pt idx="56">
                  <c:v>1.5935533266978026E-5</c:v>
                </c:pt>
                <c:pt idx="57">
                  <c:v>-8.2045877038511609E-4</c:v>
                </c:pt>
                <c:pt idx="58">
                  <c:v>-2.7059306331827582E-4</c:v>
                </c:pt>
                <c:pt idx="59">
                  <c:v>-8.4731796952760131E-5</c:v>
                </c:pt>
                <c:pt idx="60">
                  <c:v>4.0185115994181153E-4</c:v>
                </c:pt>
                <c:pt idx="61">
                  <c:v>2.4826889212158336E-5</c:v>
                </c:pt>
                <c:pt idx="62">
                  <c:v>1.2896301967690068E-4</c:v>
                </c:pt>
                <c:pt idx="63">
                  <c:v>1.4289839981624684E-4</c:v>
                </c:pt>
                <c:pt idx="64">
                  <c:v>-1.4255110634714036E-5</c:v>
                </c:pt>
                <c:pt idx="65">
                  <c:v>-2.6233703391777047E-4</c:v>
                </c:pt>
                <c:pt idx="66">
                  <c:v>-2.5626582956894575E-4</c:v>
                </c:pt>
                <c:pt idx="67">
                  <c:v>-2.251357476456627E-4</c:v>
                </c:pt>
                <c:pt idx="68">
                  <c:v>-3.4488859964780646E-4</c:v>
                </c:pt>
                <c:pt idx="69">
                  <c:v>-3.1022218819385961E-4</c:v>
                </c:pt>
                <c:pt idx="70">
                  <c:v>-8.7479825434499662E-5</c:v>
                </c:pt>
                <c:pt idx="71">
                  <c:v>1.5213888676211625E-4</c:v>
                </c:pt>
                <c:pt idx="72">
                  <c:v>-3.7906990276395381E-4</c:v>
                </c:pt>
                <c:pt idx="73">
                  <c:v>1.8442018222188195E-4</c:v>
                </c:pt>
                <c:pt idx="74">
                  <c:v>-2.0690146236888447E-5</c:v>
                </c:pt>
                <c:pt idx="75">
                  <c:v>-3.4840976954291403E-5</c:v>
                </c:pt>
                <c:pt idx="76">
                  <c:v>1.2147370032922442E-4</c:v>
                </c:pt>
                <c:pt idx="77">
                  <c:v>-1.5988040731950082E-4</c:v>
                </c:pt>
                <c:pt idx="78">
                  <c:v>3.2624913865707065E-5</c:v>
                </c:pt>
                <c:pt idx="79">
                  <c:v>7.893714110711279E-5</c:v>
                </c:pt>
                <c:pt idx="80">
                  <c:v>3.0842967613505861E-5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xVal>
            <c:numRef>
              <c:f>SensArea!$D$26:$D$106</c:f>
              <c:numCache>
                <c:formatCode>General</c:formatCode>
                <c:ptCount val="81"/>
                <c:pt idx="0">
                  <c:v>0.79432823472428149</c:v>
                </c:pt>
                <c:pt idx="1">
                  <c:v>0.90157113760595697</c:v>
                </c:pt>
                <c:pt idx="2">
                  <c:v>1.0232929922807541</c:v>
                </c:pt>
                <c:pt idx="3">
                  <c:v>1.1614486138403428</c:v>
                </c:pt>
                <c:pt idx="4">
                  <c:v>1.3182567385564072</c:v>
                </c:pt>
                <c:pt idx="5">
                  <c:v>1.4962356560944334</c:v>
                </c:pt>
                <c:pt idx="6">
                  <c:v>1.6982436524617444</c:v>
                </c:pt>
                <c:pt idx="7">
                  <c:v>1.9275249131909362</c:v>
                </c:pt>
                <c:pt idx="8">
                  <c:v>2.1877616239495525</c:v>
                </c:pt>
                <c:pt idx="9">
                  <c:v>2.4831331052955701</c:v>
                </c:pt>
                <c:pt idx="10">
                  <c:v>2.8183829312644537</c:v>
                </c:pt>
                <c:pt idx="11">
                  <c:v>3.198895109691398</c:v>
                </c:pt>
                <c:pt idx="12">
                  <c:v>3.630780547701014</c:v>
                </c:pt>
                <c:pt idx="13">
                  <c:v>4.1209751909733034</c:v>
                </c:pt>
                <c:pt idx="14">
                  <c:v>4.6773514128719844</c:v>
                </c:pt>
                <c:pt idx="15">
                  <c:v>5.3088444423098871</c:v>
                </c:pt>
                <c:pt idx="16">
                  <c:v>6.0255958607435822</c:v>
                </c:pt>
                <c:pt idx="17">
                  <c:v>6.8391164728142995</c:v>
                </c:pt>
                <c:pt idx="18">
                  <c:v>7.7624711662869235</c:v>
                </c:pt>
                <c:pt idx="19">
                  <c:v>8.8104887300801522</c:v>
                </c:pt>
                <c:pt idx="20">
                  <c:v>10.000000000000011</c:v>
                </c:pt>
                <c:pt idx="21">
                  <c:v>11.350108156723163</c:v>
                </c:pt>
                <c:pt idx="22">
                  <c:v>12.882495516931352</c:v>
                </c:pt>
                <c:pt idx="23">
                  <c:v>14.621771744567194</c:v>
                </c:pt>
                <c:pt idx="24">
                  <c:v>16.595869074375621</c:v>
                </c:pt>
                <c:pt idx="25">
                  <c:v>18.83649089489802</c:v>
                </c:pt>
                <c:pt idx="26">
                  <c:v>21.379620895022335</c:v>
                </c:pt>
                <c:pt idx="27">
                  <c:v>24.266100950824168</c:v>
                </c:pt>
                <c:pt idx="28">
                  <c:v>27.542287033381665</c:v>
                </c:pt>
                <c:pt idx="29">
                  <c:v>31.260793671239547</c:v>
                </c:pt>
                <c:pt idx="30">
                  <c:v>35.481338923357541</c:v>
                </c:pt>
                <c:pt idx="31">
                  <c:v>40.271703432545898</c:v>
                </c:pt>
                <c:pt idx="32">
                  <c:v>45.708818961487488</c:v>
                </c:pt>
                <c:pt idx="33">
                  <c:v>51.880003892896092</c:v>
                </c:pt>
                <c:pt idx="34">
                  <c:v>58.884365535558842</c:v>
                </c:pt>
                <c:pt idx="35">
                  <c:v>66.834391756861422</c:v>
                </c:pt>
                <c:pt idx="36">
                  <c:v>75.85775750291829</c:v>
                </c:pt>
                <c:pt idx="37">
                  <c:v>86.099375218459997</c:v>
                </c:pt>
                <c:pt idx="38">
                  <c:v>97.723722095580953</c:v>
                </c:pt>
                <c:pt idx="39">
                  <c:v>110.91748152624001</c:v>
                </c:pt>
                <c:pt idx="40">
                  <c:v>125.89254117941665</c:v>
                </c:pt>
                <c:pt idx="41">
                  <c:v>142.88939585111027</c:v>
                </c:pt>
                <c:pt idx="42">
                  <c:v>162.18100973589304</c:v>
                </c:pt>
                <c:pt idx="43">
                  <c:v>184.07720014689568</c:v>
                </c:pt>
                <c:pt idx="44">
                  <c:v>208.92961308540416</c:v>
                </c:pt>
                <c:pt idx="45">
                  <c:v>237.13737056616583</c:v>
                </c:pt>
                <c:pt idx="46">
                  <c:v>269.15348039269202</c:v>
                </c:pt>
                <c:pt idx="47">
                  <c:v>305.49211132155193</c:v>
                </c:pt>
                <c:pt idx="48">
                  <c:v>346.73685045253245</c:v>
                </c:pt>
                <c:pt idx="49">
                  <c:v>393.55007545577854</c:v>
                </c:pt>
                <c:pt idx="50">
                  <c:v>446.6835921509645</c:v>
                </c:pt>
                <c:pt idx="51">
                  <c:v>506.99070827470609</c:v>
                </c:pt>
                <c:pt idx="52">
                  <c:v>575.43993733715911</c:v>
                </c:pt>
                <c:pt idx="53">
                  <c:v>653.13055264747504</c:v>
                </c:pt>
                <c:pt idx="54">
                  <c:v>741.31024130092089</c:v>
                </c:pt>
                <c:pt idx="55">
                  <c:v>841.39514164519926</c:v>
                </c:pt>
                <c:pt idx="56">
                  <c:v>954.99258602144096</c:v>
                </c:pt>
                <c:pt idx="57">
                  <c:v>1083.9269140212107</c:v>
                </c:pt>
                <c:pt idx="58">
                  <c:v>1230.2687708123901</c:v>
                </c:pt>
                <c:pt idx="59">
                  <c:v>1396.3683610559478</c:v>
                </c:pt>
                <c:pt idx="60">
                  <c:v>1584.8931924611256</c:v>
                </c:pt>
                <c:pt idx="61">
                  <c:v>1798.8709151288022</c:v>
                </c:pt>
                <c:pt idx="62">
                  <c:v>2041.7379446695463</c:v>
                </c:pt>
                <c:pt idx="63">
                  <c:v>2317.3946499684989</c:v>
                </c:pt>
                <c:pt idx="64">
                  <c:v>2630.2679918954059</c:v>
                </c:pt>
                <c:pt idx="65">
                  <c:v>2985.3826189179877</c:v>
                </c:pt>
                <c:pt idx="66">
                  <c:v>3388.4415613920555</c:v>
                </c:pt>
                <c:pt idx="67">
                  <c:v>3845.9178204535747</c:v>
                </c:pt>
                <c:pt idx="68">
                  <c:v>4365.1583224017013</c:v>
                </c:pt>
                <c:pt idx="69">
                  <c:v>4954.501908047956</c:v>
                </c:pt>
                <c:pt idx="70">
                  <c:v>5623.4132519035493</c:v>
                </c:pt>
                <c:pt idx="71">
                  <c:v>6382.6348619055607</c:v>
                </c:pt>
                <c:pt idx="72">
                  <c:v>7244.3596007499809</c:v>
                </c:pt>
                <c:pt idx="73">
                  <c:v>8222.4264994708137</c:v>
                </c:pt>
                <c:pt idx="74">
                  <c:v>9332.54300797002</c:v>
                </c:pt>
                <c:pt idx="75">
                  <c:v>10592.537251773008</c:v>
                </c:pt>
                <c:pt idx="76">
                  <c:v>12022.644346174258</c:v>
                </c:pt>
                <c:pt idx="77">
                  <c:v>13645.831365889386</c:v>
                </c:pt>
                <c:pt idx="78">
                  <c:v>15488.166189124964</c:v>
                </c:pt>
                <c:pt idx="79">
                  <c:v>17579.236139587087</c:v>
                </c:pt>
                <c:pt idx="80">
                  <c:v>19952.62314968897</c:v>
                </c:pt>
              </c:numCache>
            </c:numRef>
          </c:xVal>
          <c:yVal>
            <c:numRef>
              <c:f>SensArea!$G$26:$G$106</c:f>
              <c:numCache>
                <c:formatCode>0.0</c:formatCode>
                <c:ptCount val="81"/>
                <c:pt idx="0">
                  <c:v>94.553924013475239</c:v>
                </c:pt>
                <c:pt idx="1">
                  <c:v>93.365036044253884</c:v>
                </c:pt>
                <c:pt idx="2">
                  <c:v>92.205170691524401</c:v>
                </c:pt>
                <c:pt idx="3">
                  <c:v>91.072838683255512</c:v>
                </c:pt>
                <c:pt idx="4">
                  <c:v>89.967553708444996</c:v>
                </c:pt>
                <c:pt idx="5">
                  <c:v>88.887961379986223</c:v>
                </c:pt>
                <c:pt idx="6">
                  <c:v>87.832795838909732</c:v>
                </c:pt>
                <c:pt idx="7">
                  <c:v>86.800805056427549</c:v>
                </c:pt>
                <c:pt idx="8">
                  <c:v>85.790067194089289</c:v>
                </c:pt>
                <c:pt idx="9">
                  <c:v>84.797720430594907</c:v>
                </c:pt>
                <c:pt idx="10">
                  <c:v>83.819279923283062</c:v>
                </c:pt>
                <c:pt idx="11">
                  <c:v>82.84974826062323</c:v>
                </c:pt>
                <c:pt idx="12">
                  <c:v>81.881960760431824</c:v>
                </c:pt>
                <c:pt idx="13">
                  <c:v>80.90677282597045</c:v>
                </c:pt>
                <c:pt idx="14">
                  <c:v>79.913758156955822</c:v>
                </c:pt>
                <c:pt idx="15">
                  <c:v>78.890898757063013</c:v>
                </c:pt>
                <c:pt idx="16">
                  <c:v>77.825038325549357</c:v>
                </c:pt>
                <c:pt idx="17">
                  <c:v>76.701015052599345</c:v>
                </c:pt>
                <c:pt idx="18">
                  <c:v>75.502893780261843</c:v>
                </c:pt>
                <c:pt idx="19">
                  <c:v>74.212498255723148</c:v>
                </c:pt>
                <c:pt idx="20">
                  <c:v>72.812556327999388</c:v>
                </c:pt>
                <c:pt idx="21">
                  <c:v>71.283564099226709</c:v>
                </c:pt>
                <c:pt idx="22">
                  <c:v>69.607231091493759</c:v>
                </c:pt>
                <c:pt idx="23">
                  <c:v>67.766217860194473</c:v>
                </c:pt>
                <c:pt idx="24">
                  <c:v>65.743897498966405</c:v>
                </c:pt>
                <c:pt idx="25">
                  <c:v>63.525978287114313</c:v>
                </c:pt>
                <c:pt idx="26">
                  <c:v>61.101690056504104</c:v>
                </c:pt>
                <c:pt idx="27">
                  <c:v>58.463301989281071</c:v>
                </c:pt>
                <c:pt idx="28">
                  <c:v>55.60667841926346</c:v>
                </c:pt>
                <c:pt idx="29">
                  <c:v>52.533250536865481</c:v>
                </c:pt>
                <c:pt idx="30">
                  <c:v>49.250496250823062</c:v>
                </c:pt>
                <c:pt idx="31">
                  <c:v>45.77200601914096</c:v>
                </c:pt>
                <c:pt idx="32">
                  <c:v>42.120824789832326</c:v>
                </c:pt>
                <c:pt idx="33">
                  <c:v>38.328246818160942</c:v>
                </c:pt>
                <c:pt idx="34">
                  <c:v>34.435689676900701</c:v>
                </c:pt>
                <c:pt idx="35">
                  <c:v>30.494387284740831</c:v>
                </c:pt>
                <c:pt idx="36">
                  <c:v>26.564778684021132</c:v>
                </c:pt>
                <c:pt idx="37">
                  <c:v>22.714292419110333</c:v>
                </c:pt>
                <c:pt idx="38">
                  <c:v>19.015692540693671</c:v>
                </c:pt>
                <c:pt idx="39">
                  <c:v>15.541830152515123</c:v>
                </c:pt>
                <c:pt idx="40">
                  <c:v>12.361487244774521</c:v>
                </c:pt>
                <c:pt idx="41">
                  <c:v>9.532712775591456</c:v>
                </c:pt>
                <c:pt idx="42">
                  <c:v>7.0977140584947565</c:v>
                </c:pt>
                <c:pt idx="43">
                  <c:v>5.0785441603246309</c:v>
                </c:pt>
                <c:pt idx="44">
                  <c:v>3.472936892427839</c:v>
                </c:pt>
                <c:pt idx="45">
                  <c:v>2.2559797471862799</c:v>
                </c:pt>
                <c:pt idx="46">
                  <c:v>1.382220449276472</c:v>
                </c:pt>
                <c:pt idx="47">
                  <c:v>0.79217569971671398</c:v>
                </c:pt>
                <c:pt idx="48">
                  <c:v>0.42148385177245234</c:v>
                </c:pt>
                <c:pt idx="49">
                  <c:v>0.20531312487558381</c:v>
                </c:pt>
                <c:pt idx="50">
                  <c:v>9.2248688921215835E-2</c:v>
                </c:pt>
                <c:pt idx="51">
                  <c:v>3.7705628052982165E-2</c:v>
                </c:pt>
                <c:pt idx="52">
                  <c:v>1.3848926115917617E-2</c:v>
                </c:pt>
                <c:pt idx="53">
                  <c:v>4.8823733251665263E-3</c:v>
                </c:pt>
                <c:pt idx="54">
                  <c:v>2.2584521858969456E-3</c:v>
                </c:pt>
                <c:pt idx="55">
                  <c:v>5.9047102059566652E-4</c:v>
                </c:pt>
                <c:pt idx="56">
                  <c:v>3.2677605083837385E-4</c:v>
                </c:pt>
                <c:pt idx="57">
                  <c:v>-1.4485096087589007E-3</c:v>
                </c:pt>
                <c:pt idx="58">
                  <c:v>-1.1427245999540618E-3</c:v>
                </c:pt>
                <c:pt idx="59">
                  <c:v>-9.2532577903682719E-4</c:v>
                </c:pt>
                <c:pt idx="60">
                  <c:v>-1.0309103437715337E-4</c:v>
                </c:pt>
                <c:pt idx="61">
                  <c:v>-2.8794257713804456E-4</c:v>
                </c:pt>
                <c:pt idx="62">
                  <c:v>7.0750478523849626E-5</c:v>
                </c:pt>
                <c:pt idx="63">
                  <c:v>2.5140050532118522E-4</c:v>
                </c:pt>
                <c:pt idx="64">
                  <c:v>1.0269642446979558E-4</c:v>
                </c:pt>
                <c:pt idx="65">
                  <c:v>-2.2612388025419189E-4</c:v>
                </c:pt>
                <c:pt idx="66">
                  <c:v>-2.4604088507771229E-4</c:v>
                </c:pt>
                <c:pt idx="67">
                  <c:v>-2.352463057958809E-4</c:v>
                </c:pt>
                <c:pt idx="68">
                  <c:v>-4.3210979251205882E-4</c:v>
                </c:pt>
                <c:pt idx="69">
                  <c:v>-4.0822463823596972E-4</c:v>
                </c:pt>
                <c:pt idx="70">
                  <c:v>-1.1922410228925811E-4</c:v>
                </c:pt>
                <c:pt idx="71">
                  <c:v>2.1090130924125261E-4</c:v>
                </c:pt>
                <c:pt idx="72">
                  <c:v>-5.4165699410458625E-4</c:v>
                </c:pt>
                <c:pt idx="73">
                  <c:v>2.56644361074956E-4</c:v>
                </c:pt>
                <c:pt idx="74">
                  <c:v>-3.4128933466043953E-5</c:v>
                </c:pt>
                <c:pt idx="75">
                  <c:v>-5.4080392006737621E-5</c:v>
                </c:pt>
                <c:pt idx="76">
                  <c:v>1.7157445831100223E-4</c:v>
                </c:pt>
                <c:pt idx="77">
                  <c:v>-2.3282535793583956E-4</c:v>
                </c:pt>
                <c:pt idx="78">
                  <c:v>4.6087589005436033E-5</c:v>
                </c:pt>
                <c:pt idx="79">
                  <c:v>1.1399081234208715E-4</c:v>
                </c:pt>
                <c:pt idx="80">
                  <c:v>4.4532577903682726E-5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SensArea!$D$26:$D$106</c:f>
              <c:numCache>
                <c:formatCode>General</c:formatCode>
                <c:ptCount val="81"/>
                <c:pt idx="0">
                  <c:v>0.79432823472428149</c:v>
                </c:pt>
                <c:pt idx="1">
                  <c:v>0.90157113760595697</c:v>
                </c:pt>
                <c:pt idx="2">
                  <c:v>1.0232929922807541</c:v>
                </c:pt>
                <c:pt idx="3">
                  <c:v>1.1614486138403428</c:v>
                </c:pt>
                <c:pt idx="4">
                  <c:v>1.3182567385564072</c:v>
                </c:pt>
                <c:pt idx="5">
                  <c:v>1.4962356560944334</c:v>
                </c:pt>
                <c:pt idx="6">
                  <c:v>1.6982436524617444</c:v>
                </c:pt>
                <c:pt idx="7">
                  <c:v>1.9275249131909362</c:v>
                </c:pt>
                <c:pt idx="8">
                  <c:v>2.1877616239495525</c:v>
                </c:pt>
                <c:pt idx="9">
                  <c:v>2.4831331052955701</c:v>
                </c:pt>
                <c:pt idx="10">
                  <c:v>2.8183829312644537</c:v>
                </c:pt>
                <c:pt idx="11">
                  <c:v>3.198895109691398</c:v>
                </c:pt>
                <c:pt idx="12">
                  <c:v>3.630780547701014</c:v>
                </c:pt>
                <c:pt idx="13">
                  <c:v>4.1209751909733034</c:v>
                </c:pt>
                <c:pt idx="14">
                  <c:v>4.6773514128719844</c:v>
                </c:pt>
                <c:pt idx="15">
                  <c:v>5.3088444423098871</c:v>
                </c:pt>
                <c:pt idx="16">
                  <c:v>6.0255958607435822</c:v>
                </c:pt>
                <c:pt idx="17">
                  <c:v>6.8391164728142995</c:v>
                </c:pt>
                <c:pt idx="18">
                  <c:v>7.7624711662869235</c:v>
                </c:pt>
                <c:pt idx="19">
                  <c:v>8.8104887300801522</c:v>
                </c:pt>
                <c:pt idx="20">
                  <c:v>10.000000000000011</c:v>
                </c:pt>
                <c:pt idx="21">
                  <c:v>11.350108156723163</c:v>
                </c:pt>
                <c:pt idx="22">
                  <c:v>12.882495516931352</c:v>
                </c:pt>
                <c:pt idx="23">
                  <c:v>14.621771744567194</c:v>
                </c:pt>
                <c:pt idx="24">
                  <c:v>16.595869074375621</c:v>
                </c:pt>
                <c:pt idx="25">
                  <c:v>18.83649089489802</c:v>
                </c:pt>
                <c:pt idx="26">
                  <c:v>21.379620895022335</c:v>
                </c:pt>
                <c:pt idx="27">
                  <c:v>24.266100950824168</c:v>
                </c:pt>
                <c:pt idx="28">
                  <c:v>27.542287033381665</c:v>
                </c:pt>
                <c:pt idx="29">
                  <c:v>31.260793671239547</c:v>
                </c:pt>
                <c:pt idx="30">
                  <c:v>35.481338923357541</c:v>
                </c:pt>
                <c:pt idx="31">
                  <c:v>40.271703432545898</c:v>
                </c:pt>
                <c:pt idx="32">
                  <c:v>45.708818961487488</c:v>
                </c:pt>
                <c:pt idx="33">
                  <c:v>51.880003892896092</c:v>
                </c:pt>
                <c:pt idx="34">
                  <c:v>58.884365535558842</c:v>
                </c:pt>
                <c:pt idx="35">
                  <c:v>66.834391756861422</c:v>
                </c:pt>
                <c:pt idx="36">
                  <c:v>75.85775750291829</c:v>
                </c:pt>
                <c:pt idx="37">
                  <c:v>86.099375218459997</c:v>
                </c:pt>
                <c:pt idx="38">
                  <c:v>97.723722095580953</c:v>
                </c:pt>
                <c:pt idx="39">
                  <c:v>110.91748152624001</c:v>
                </c:pt>
                <c:pt idx="40">
                  <c:v>125.89254117941665</c:v>
                </c:pt>
                <c:pt idx="41">
                  <c:v>142.88939585111027</c:v>
                </c:pt>
                <c:pt idx="42">
                  <c:v>162.18100973589304</c:v>
                </c:pt>
                <c:pt idx="43">
                  <c:v>184.07720014689568</c:v>
                </c:pt>
                <c:pt idx="44">
                  <c:v>208.92961308540416</c:v>
                </c:pt>
                <c:pt idx="45">
                  <c:v>237.13737056616583</c:v>
                </c:pt>
                <c:pt idx="46">
                  <c:v>269.15348039269202</c:v>
                </c:pt>
                <c:pt idx="47">
                  <c:v>305.49211132155193</c:v>
                </c:pt>
                <c:pt idx="48">
                  <c:v>346.73685045253245</c:v>
                </c:pt>
                <c:pt idx="49">
                  <c:v>393.55007545577854</c:v>
                </c:pt>
                <c:pt idx="50">
                  <c:v>446.6835921509645</c:v>
                </c:pt>
                <c:pt idx="51">
                  <c:v>506.99070827470609</c:v>
                </c:pt>
                <c:pt idx="52">
                  <c:v>575.43993733715911</c:v>
                </c:pt>
                <c:pt idx="53">
                  <c:v>653.13055264747504</c:v>
                </c:pt>
                <c:pt idx="54">
                  <c:v>741.31024130092089</c:v>
                </c:pt>
                <c:pt idx="55">
                  <c:v>841.39514164519926</c:v>
                </c:pt>
                <c:pt idx="56">
                  <c:v>954.99258602144096</c:v>
                </c:pt>
                <c:pt idx="57">
                  <c:v>1083.9269140212107</c:v>
                </c:pt>
                <c:pt idx="58">
                  <c:v>1230.2687708123901</c:v>
                </c:pt>
                <c:pt idx="59">
                  <c:v>1396.3683610559478</c:v>
                </c:pt>
                <c:pt idx="60">
                  <c:v>1584.8931924611256</c:v>
                </c:pt>
                <c:pt idx="61">
                  <c:v>1798.8709151288022</c:v>
                </c:pt>
                <c:pt idx="62">
                  <c:v>2041.7379446695463</c:v>
                </c:pt>
                <c:pt idx="63">
                  <c:v>2317.3946499684989</c:v>
                </c:pt>
                <c:pt idx="64">
                  <c:v>2630.2679918954059</c:v>
                </c:pt>
                <c:pt idx="65">
                  <c:v>2985.3826189179877</c:v>
                </c:pt>
                <c:pt idx="66">
                  <c:v>3388.4415613920555</c:v>
                </c:pt>
                <c:pt idx="67">
                  <c:v>3845.9178204535747</c:v>
                </c:pt>
                <c:pt idx="68">
                  <c:v>4365.1583224017013</c:v>
                </c:pt>
                <c:pt idx="69">
                  <c:v>4954.501908047956</c:v>
                </c:pt>
                <c:pt idx="70">
                  <c:v>5623.4132519035493</c:v>
                </c:pt>
                <c:pt idx="71">
                  <c:v>6382.6348619055607</c:v>
                </c:pt>
                <c:pt idx="72">
                  <c:v>7244.3596007499809</c:v>
                </c:pt>
                <c:pt idx="73">
                  <c:v>8222.4264994708137</c:v>
                </c:pt>
                <c:pt idx="74">
                  <c:v>9332.54300797002</c:v>
                </c:pt>
                <c:pt idx="75">
                  <c:v>10592.537251773008</c:v>
                </c:pt>
                <c:pt idx="76">
                  <c:v>12022.644346174258</c:v>
                </c:pt>
                <c:pt idx="77">
                  <c:v>13645.831365889386</c:v>
                </c:pt>
                <c:pt idx="78">
                  <c:v>15488.166189124964</c:v>
                </c:pt>
                <c:pt idx="79">
                  <c:v>17579.236139587087</c:v>
                </c:pt>
                <c:pt idx="80">
                  <c:v>19952.62314968897</c:v>
                </c:pt>
              </c:numCache>
            </c:numRef>
          </c:xVal>
          <c:yVal>
            <c:numRef>
              <c:f>SensArea!$H$26:$H$106</c:f>
              <c:numCache>
                <c:formatCode>0.0</c:formatCode>
                <c:ptCount val="81"/>
                <c:pt idx="0">
                  <c:v>94.534173961718096</c:v>
                </c:pt>
                <c:pt idx="1">
                  <c:v>93.345935015542452</c:v>
                </c:pt>
                <c:pt idx="2">
                  <c:v>92.186505499578914</c:v>
                </c:pt>
                <c:pt idx="3">
                  <c:v>91.30838724416202</c:v>
                </c:pt>
                <c:pt idx="4">
                  <c:v>90.197668157415208</c:v>
                </c:pt>
                <c:pt idx="5">
                  <c:v>89.112903177551502</c:v>
                </c:pt>
                <c:pt idx="6">
                  <c:v>88.052760838373786</c:v>
                </c:pt>
                <c:pt idx="7">
                  <c:v>87.017646079932632</c:v>
                </c:pt>
                <c:pt idx="8">
                  <c:v>86.005837688232148</c:v>
                </c:pt>
                <c:pt idx="9">
                  <c:v>85.016682757063023</c:v>
                </c:pt>
                <c:pt idx="10">
                  <c:v>84.049183874282221</c:v>
                </c:pt>
                <c:pt idx="11">
                  <c:v>83.102105115687934</c:v>
                </c:pt>
                <c:pt idx="12">
                  <c:v>82.173600768547601</c:v>
                </c:pt>
                <c:pt idx="13">
                  <c:v>81.260375842431671</c:v>
                </c:pt>
                <c:pt idx="14">
                  <c:v>80.357637839981635</c:v>
                </c:pt>
                <c:pt idx="15">
                  <c:v>79.458394575453653</c:v>
                </c:pt>
                <c:pt idx="16">
                  <c:v>78.553238695199454</c:v>
                </c:pt>
                <c:pt idx="17">
                  <c:v>77.62956493790675</c:v>
                </c:pt>
                <c:pt idx="18">
                  <c:v>76.672673958196157</c:v>
                </c:pt>
                <c:pt idx="19">
                  <c:v>75.665586769925739</c:v>
                </c:pt>
                <c:pt idx="20">
                  <c:v>74.589655477375402</c:v>
                </c:pt>
                <c:pt idx="21">
                  <c:v>73.42537324722457</c:v>
                </c:pt>
                <c:pt idx="22">
                  <c:v>72.153084399663129</c:v>
                </c:pt>
                <c:pt idx="23">
                  <c:v>70.753603398361534</c:v>
                </c:pt>
                <c:pt idx="24">
                  <c:v>69.208872851695901</c:v>
                </c:pt>
                <c:pt idx="25">
                  <c:v>67.502463110481585</c:v>
                </c:pt>
                <c:pt idx="26">
                  <c:v>65.619596118673925</c:v>
                </c:pt>
                <c:pt idx="27">
                  <c:v>63.547196350202896</c:v>
                </c:pt>
                <c:pt idx="28">
                  <c:v>61.274909643978255</c:v>
                </c:pt>
                <c:pt idx="29">
                  <c:v>58.794015573080159</c:v>
                </c:pt>
                <c:pt idx="30">
                  <c:v>56.09989812770845</c:v>
                </c:pt>
                <c:pt idx="31">
                  <c:v>53.191151114309783</c:v>
                </c:pt>
                <c:pt idx="32">
                  <c:v>50.072105920067379</c:v>
                </c:pt>
                <c:pt idx="33">
                  <c:v>46.753212000000005</c:v>
                </c:pt>
                <c:pt idx="34">
                  <c:v>43.251775734629817</c:v>
                </c:pt>
                <c:pt idx="35">
                  <c:v>39.594204407932018</c:v>
                </c:pt>
                <c:pt idx="36">
                  <c:v>35.816207443687318</c:v>
                </c:pt>
                <c:pt idx="37">
                  <c:v>31.962932887680882</c:v>
                </c:pt>
                <c:pt idx="38">
                  <c:v>28.089173439552869</c:v>
                </c:pt>
                <c:pt idx="39">
                  <c:v>24.258089099609528</c:v>
                </c:pt>
                <c:pt idx="40">
                  <c:v>20.538895840747262</c:v>
                </c:pt>
                <c:pt idx="41">
                  <c:v>17.003524943878723</c:v>
                </c:pt>
                <c:pt idx="42">
                  <c:v>13.722281909960953</c:v>
                </c:pt>
                <c:pt idx="43">
                  <c:v>10.75830180537478</c:v>
                </c:pt>
                <c:pt idx="44">
                  <c:v>8.1619931346757522</c:v>
                </c:pt>
                <c:pt idx="45">
                  <c:v>5.9656361647653329</c:v>
                </c:pt>
                <c:pt idx="46">
                  <c:v>4.1794037612740222</c:v>
                </c:pt>
                <c:pt idx="47">
                  <c:v>2.7904128735931399</c:v>
                </c:pt>
                <c:pt idx="48">
                  <c:v>1.7642775182604702</c:v>
                </c:pt>
                <c:pt idx="49">
                  <c:v>1.0474791698951076</c:v>
                </c:pt>
                <c:pt idx="50">
                  <c:v>0.58052291769389786</c:v>
                </c:pt>
                <c:pt idx="51">
                  <c:v>0.29665890498430442</c:v>
                </c:pt>
                <c:pt idx="52">
                  <c:v>0.13819676885383969</c:v>
                </c:pt>
                <c:pt idx="53">
                  <c:v>5.8540946635020297E-2</c:v>
                </c:pt>
                <c:pt idx="54">
                  <c:v>2.3452246535487331E-2</c:v>
                </c:pt>
                <c:pt idx="55">
                  <c:v>8.8969241252584031E-3</c:v>
                </c:pt>
                <c:pt idx="56">
                  <c:v>4.1190117142638387E-3</c:v>
                </c:pt>
                <c:pt idx="57">
                  <c:v>4.6711201286272114E-4</c:v>
                </c:pt>
                <c:pt idx="58">
                  <c:v>-3.1250715871679048E-4</c:v>
                </c:pt>
                <c:pt idx="59">
                  <c:v>-9.2817073730954748E-4</c:v>
                </c:pt>
                <c:pt idx="60">
                  <c:v>-6.0188714493530362E-4</c:v>
                </c:pt>
                <c:pt idx="61">
                  <c:v>-1.0137000229691448E-3</c:v>
                </c:pt>
                <c:pt idx="62">
                  <c:v>-5.5543159023045707E-4</c:v>
                </c:pt>
                <c:pt idx="63">
                  <c:v>-1.2288170890437181E-4</c:v>
                </c:pt>
                <c:pt idx="64">
                  <c:v>-9.1832937753617648E-5</c:v>
                </c:pt>
                <c:pt idx="65">
                  <c:v>-3.1886180231222727E-4</c:v>
                </c:pt>
                <c:pt idx="66">
                  <c:v>-2.3653763111553482E-4</c:v>
                </c:pt>
                <c:pt idx="67">
                  <c:v>-1.915828803307557E-4</c:v>
                </c:pt>
                <c:pt idx="68">
                  <c:v>-4.3651986831023661E-4</c:v>
                </c:pt>
                <c:pt idx="69">
                  <c:v>-4.3416323405558535E-4</c:v>
                </c:pt>
                <c:pt idx="70">
                  <c:v>-1.0019967843197306E-4</c:v>
                </c:pt>
                <c:pt idx="71">
                  <c:v>2.9611913329760355E-4</c:v>
                </c:pt>
                <c:pt idx="72">
                  <c:v>-6.8357966465048626E-4</c:v>
                </c:pt>
                <c:pt idx="73">
                  <c:v>3.3265890819998473E-4</c:v>
                </c:pt>
                <c:pt idx="74">
                  <c:v>-4.4460914171962337E-5</c:v>
                </c:pt>
                <c:pt idx="75">
                  <c:v>-7.5553326697802627E-5</c:v>
                </c:pt>
                <c:pt idx="76">
                  <c:v>2.2035357170201367E-4</c:v>
                </c:pt>
                <c:pt idx="77">
                  <c:v>-3.0935808896715415E-4</c:v>
                </c:pt>
                <c:pt idx="78">
                  <c:v>5.6947860041344472E-5</c:v>
                </c:pt>
                <c:pt idx="79">
                  <c:v>1.4769941045861726E-4</c:v>
                </c:pt>
                <c:pt idx="80">
                  <c:v>5.6898706071510608E-5</c:v>
                </c:pt>
              </c:numCache>
            </c:numRef>
          </c:yVal>
          <c:smooth val="1"/>
        </c:ser>
        <c:ser>
          <c:idx val="4"/>
          <c:order val="4"/>
          <c:marker>
            <c:symbol val="none"/>
          </c:marker>
          <c:xVal>
            <c:numRef>
              <c:f>SensArea!$D$26:$D$106</c:f>
              <c:numCache>
                <c:formatCode>General</c:formatCode>
                <c:ptCount val="81"/>
                <c:pt idx="0">
                  <c:v>0.79432823472428149</c:v>
                </c:pt>
                <c:pt idx="1">
                  <c:v>0.90157113760595697</c:v>
                </c:pt>
                <c:pt idx="2">
                  <c:v>1.0232929922807541</c:v>
                </c:pt>
                <c:pt idx="3">
                  <c:v>1.1614486138403428</c:v>
                </c:pt>
                <c:pt idx="4">
                  <c:v>1.3182567385564072</c:v>
                </c:pt>
                <c:pt idx="5">
                  <c:v>1.4962356560944334</c:v>
                </c:pt>
                <c:pt idx="6">
                  <c:v>1.6982436524617444</c:v>
                </c:pt>
                <c:pt idx="7">
                  <c:v>1.9275249131909362</c:v>
                </c:pt>
                <c:pt idx="8">
                  <c:v>2.1877616239495525</c:v>
                </c:pt>
                <c:pt idx="9">
                  <c:v>2.4831331052955701</c:v>
                </c:pt>
                <c:pt idx="10">
                  <c:v>2.8183829312644537</c:v>
                </c:pt>
                <c:pt idx="11">
                  <c:v>3.198895109691398</c:v>
                </c:pt>
                <c:pt idx="12">
                  <c:v>3.630780547701014</c:v>
                </c:pt>
                <c:pt idx="13">
                  <c:v>4.1209751909733034</c:v>
                </c:pt>
                <c:pt idx="14">
                  <c:v>4.6773514128719844</c:v>
                </c:pt>
                <c:pt idx="15">
                  <c:v>5.3088444423098871</c:v>
                </c:pt>
                <c:pt idx="16">
                  <c:v>6.0255958607435822</c:v>
                </c:pt>
                <c:pt idx="17">
                  <c:v>6.8391164728142995</c:v>
                </c:pt>
                <c:pt idx="18">
                  <c:v>7.7624711662869235</c:v>
                </c:pt>
                <c:pt idx="19">
                  <c:v>8.8104887300801522</c:v>
                </c:pt>
                <c:pt idx="20">
                  <c:v>10.000000000000011</c:v>
                </c:pt>
                <c:pt idx="21">
                  <c:v>11.350108156723163</c:v>
                </c:pt>
                <c:pt idx="22">
                  <c:v>12.882495516931352</c:v>
                </c:pt>
                <c:pt idx="23">
                  <c:v>14.621771744567194</c:v>
                </c:pt>
                <c:pt idx="24">
                  <c:v>16.595869074375621</c:v>
                </c:pt>
                <c:pt idx="25">
                  <c:v>18.83649089489802</c:v>
                </c:pt>
                <c:pt idx="26">
                  <c:v>21.379620895022335</c:v>
                </c:pt>
                <c:pt idx="27">
                  <c:v>24.266100950824168</c:v>
                </c:pt>
                <c:pt idx="28">
                  <c:v>27.542287033381665</c:v>
                </c:pt>
                <c:pt idx="29">
                  <c:v>31.260793671239547</c:v>
                </c:pt>
                <c:pt idx="30">
                  <c:v>35.481338923357541</c:v>
                </c:pt>
                <c:pt idx="31">
                  <c:v>40.271703432545898</c:v>
                </c:pt>
                <c:pt idx="32">
                  <c:v>45.708818961487488</c:v>
                </c:pt>
                <c:pt idx="33">
                  <c:v>51.880003892896092</c:v>
                </c:pt>
                <c:pt idx="34">
                  <c:v>58.884365535558842</c:v>
                </c:pt>
                <c:pt idx="35">
                  <c:v>66.834391756861422</c:v>
                </c:pt>
                <c:pt idx="36">
                  <c:v>75.85775750291829</c:v>
                </c:pt>
                <c:pt idx="37">
                  <c:v>86.099375218459997</c:v>
                </c:pt>
                <c:pt idx="38">
                  <c:v>97.723722095580953</c:v>
                </c:pt>
                <c:pt idx="39">
                  <c:v>110.91748152624001</c:v>
                </c:pt>
                <c:pt idx="40">
                  <c:v>125.89254117941665</c:v>
                </c:pt>
                <c:pt idx="41">
                  <c:v>142.88939585111027</c:v>
                </c:pt>
                <c:pt idx="42">
                  <c:v>162.18100973589304</c:v>
                </c:pt>
                <c:pt idx="43">
                  <c:v>184.07720014689568</c:v>
                </c:pt>
                <c:pt idx="44">
                  <c:v>208.92961308540416</c:v>
                </c:pt>
                <c:pt idx="45">
                  <c:v>237.13737056616583</c:v>
                </c:pt>
                <c:pt idx="46">
                  <c:v>269.15348039269202</c:v>
                </c:pt>
                <c:pt idx="47">
                  <c:v>305.49211132155193</c:v>
                </c:pt>
                <c:pt idx="48">
                  <c:v>346.73685045253245</c:v>
                </c:pt>
                <c:pt idx="49">
                  <c:v>393.55007545577854</c:v>
                </c:pt>
                <c:pt idx="50">
                  <c:v>446.6835921509645</c:v>
                </c:pt>
                <c:pt idx="51">
                  <c:v>506.99070827470609</c:v>
                </c:pt>
                <c:pt idx="52">
                  <c:v>575.43993733715911</c:v>
                </c:pt>
                <c:pt idx="53">
                  <c:v>653.13055264747504</c:v>
                </c:pt>
                <c:pt idx="54">
                  <c:v>741.31024130092089</c:v>
                </c:pt>
                <c:pt idx="55">
                  <c:v>841.39514164519926</c:v>
                </c:pt>
                <c:pt idx="56">
                  <c:v>954.99258602144096</c:v>
                </c:pt>
                <c:pt idx="57">
                  <c:v>1083.9269140212107</c:v>
                </c:pt>
                <c:pt idx="58">
                  <c:v>1230.2687708123901</c:v>
                </c:pt>
                <c:pt idx="59">
                  <c:v>1396.3683610559478</c:v>
                </c:pt>
                <c:pt idx="60">
                  <c:v>1584.8931924611256</c:v>
                </c:pt>
                <c:pt idx="61">
                  <c:v>1798.8709151288022</c:v>
                </c:pt>
                <c:pt idx="62">
                  <c:v>2041.7379446695463</c:v>
                </c:pt>
                <c:pt idx="63">
                  <c:v>2317.3946499684989</c:v>
                </c:pt>
                <c:pt idx="64">
                  <c:v>2630.2679918954059</c:v>
                </c:pt>
                <c:pt idx="65">
                  <c:v>2985.3826189179877</c:v>
                </c:pt>
                <c:pt idx="66">
                  <c:v>3388.4415613920555</c:v>
                </c:pt>
                <c:pt idx="67">
                  <c:v>3845.9178204535747</c:v>
                </c:pt>
                <c:pt idx="68">
                  <c:v>4365.1583224017013</c:v>
                </c:pt>
                <c:pt idx="69">
                  <c:v>4954.501908047956</c:v>
                </c:pt>
                <c:pt idx="70">
                  <c:v>5623.4132519035493</c:v>
                </c:pt>
                <c:pt idx="71">
                  <c:v>6382.6348619055607</c:v>
                </c:pt>
                <c:pt idx="72">
                  <c:v>7244.3596007499809</c:v>
                </c:pt>
                <c:pt idx="73">
                  <c:v>8222.4264994708137</c:v>
                </c:pt>
                <c:pt idx="74">
                  <c:v>9332.54300797002</c:v>
                </c:pt>
                <c:pt idx="75">
                  <c:v>10592.537251773008</c:v>
                </c:pt>
                <c:pt idx="76">
                  <c:v>12022.644346174258</c:v>
                </c:pt>
                <c:pt idx="77">
                  <c:v>13645.831365889386</c:v>
                </c:pt>
                <c:pt idx="78">
                  <c:v>15488.166189124964</c:v>
                </c:pt>
                <c:pt idx="79">
                  <c:v>17579.236139587087</c:v>
                </c:pt>
                <c:pt idx="80">
                  <c:v>19952.62314968897</c:v>
                </c:pt>
              </c:numCache>
            </c:numRef>
          </c:xVal>
          <c:yVal>
            <c:numRef>
              <c:f>SensArea!$I$26:$I$106</c:f>
              <c:numCache>
                <c:formatCode>0.0</c:formatCode>
                <c:ptCount val="81"/>
                <c:pt idx="0">
                  <c:v>94.534051100222044</c:v>
                </c:pt>
                <c:pt idx="1">
                  <c:v>93.346457374779888</c:v>
                </c:pt>
                <c:pt idx="2">
                  <c:v>92.184800387872301</c:v>
                </c:pt>
                <c:pt idx="3">
                  <c:v>91.059098093867249</c:v>
                </c:pt>
                <c:pt idx="4">
                  <c:v>89.954279190567348</c:v>
                </c:pt>
                <c:pt idx="5">
                  <c:v>88.864539821606314</c:v>
                </c:pt>
                <c:pt idx="6">
                  <c:v>87.81846884128322</c:v>
                </c:pt>
                <c:pt idx="7">
                  <c:v>86.78716497909808</c:v>
                </c:pt>
                <c:pt idx="8">
                  <c:v>86.006214607763582</c:v>
                </c:pt>
                <c:pt idx="9">
                  <c:v>85.016097354873295</c:v>
                </c:pt>
                <c:pt idx="10">
                  <c:v>84.050442984916941</c:v>
                </c:pt>
                <c:pt idx="11">
                  <c:v>83.103449378914334</c:v>
                </c:pt>
                <c:pt idx="12">
                  <c:v>82.176224246841741</c:v>
                </c:pt>
                <c:pt idx="13">
                  <c:v>81.267066611898017</c:v>
                </c:pt>
                <c:pt idx="14">
                  <c:v>80.372938650333055</c:v>
                </c:pt>
                <c:pt idx="15">
                  <c:v>79.490038294770699</c:v>
                </c:pt>
                <c:pt idx="16">
                  <c:v>78.613437146313458</c:v>
                </c:pt>
                <c:pt idx="17">
                  <c:v>77.736935016001837</c:v>
                </c:pt>
                <c:pt idx="18">
                  <c:v>76.853800746803472</c:v>
                </c:pt>
                <c:pt idx="19">
                  <c:v>75.956806856595975</c:v>
                </c:pt>
                <c:pt idx="20">
                  <c:v>75.038300056197855</c:v>
                </c:pt>
                <c:pt idx="21">
                  <c:v>74.091880783554103</c:v>
                </c:pt>
                <c:pt idx="22">
                  <c:v>73.111337390398901</c:v>
                </c:pt>
                <c:pt idx="23">
                  <c:v>72.091963820993797</c:v>
                </c:pt>
                <c:pt idx="24">
                  <c:v>71.028836742515892</c:v>
                </c:pt>
                <c:pt idx="25">
                  <c:v>69.917861455631268</c:v>
                </c:pt>
                <c:pt idx="26">
                  <c:v>68.753412955975804</c:v>
                </c:pt>
                <c:pt idx="27">
                  <c:v>67.52849634928414</c:v>
                </c:pt>
                <c:pt idx="28">
                  <c:v>66.232993706148079</c:v>
                </c:pt>
                <c:pt idx="29">
                  <c:v>64.854913639537557</c:v>
                </c:pt>
                <c:pt idx="30">
                  <c:v>63.378806485261471</c:v>
                </c:pt>
                <c:pt idx="31">
                  <c:v>61.78794011208943</c:v>
                </c:pt>
                <c:pt idx="32">
                  <c:v>60.063088560294005</c:v>
                </c:pt>
                <c:pt idx="33">
                  <c:v>58.187167556389255</c:v>
                </c:pt>
                <c:pt idx="34">
                  <c:v>56.144363538320192</c:v>
                </c:pt>
                <c:pt idx="35">
                  <c:v>53.921667308475612</c:v>
                </c:pt>
                <c:pt idx="36">
                  <c:v>51.510079305106814</c:v>
                </c:pt>
                <c:pt idx="37">
                  <c:v>48.905781098997018</c:v>
                </c:pt>
                <c:pt idx="38">
                  <c:v>46.109910236582195</c:v>
                </c:pt>
                <c:pt idx="39">
                  <c:v>43.129905316285125</c:v>
                </c:pt>
                <c:pt idx="40">
                  <c:v>39.980366002909427</c:v>
                </c:pt>
                <c:pt idx="41">
                  <c:v>36.683394322946178</c:v>
                </c:pt>
                <c:pt idx="42">
                  <c:v>33.269512539621779</c:v>
                </c:pt>
                <c:pt idx="43">
                  <c:v>29.778149156573008</c:v>
                </c:pt>
                <c:pt idx="44">
                  <c:v>26.25715666411454</c:v>
                </c:pt>
                <c:pt idx="45">
                  <c:v>22.762529231452419</c:v>
                </c:pt>
                <c:pt idx="46">
                  <c:v>19.356019423627593</c:v>
                </c:pt>
                <c:pt idx="47">
                  <c:v>16.10299388117296</c:v>
                </c:pt>
                <c:pt idx="48">
                  <c:v>13.068292948931935</c:v>
                </c:pt>
                <c:pt idx="49">
                  <c:v>10.310102018528443</c:v>
                </c:pt>
                <c:pt idx="50">
                  <c:v>7.8787755536329529</c:v>
                </c:pt>
                <c:pt idx="51">
                  <c:v>5.8056058102748649</c:v>
                </c:pt>
                <c:pt idx="52">
                  <c:v>4.1046848195390861</c:v>
                </c:pt>
                <c:pt idx="53">
                  <c:v>2.7694261373554863</c:v>
                </c:pt>
                <c:pt idx="54">
                  <c:v>1.7722441920220506</c:v>
                </c:pt>
                <c:pt idx="55">
                  <c:v>1.0671295507235281</c:v>
                </c:pt>
                <c:pt idx="56">
                  <c:v>0.60047369175407705</c:v>
                </c:pt>
                <c:pt idx="57">
                  <c:v>0.31115924018069063</c:v>
                </c:pt>
                <c:pt idx="58">
                  <c:v>0.14832991532041959</c:v>
                </c:pt>
                <c:pt idx="59">
                  <c:v>6.4314971135441393E-2</c:v>
                </c:pt>
                <c:pt idx="60">
                  <c:v>2.6040606385422254E-2</c:v>
                </c:pt>
                <c:pt idx="61">
                  <c:v>9.5154919225174193E-3</c:v>
                </c:pt>
                <c:pt idx="62">
                  <c:v>3.6294593063318282E-3</c:v>
                </c:pt>
                <c:pt idx="63">
                  <c:v>1.4817877651022127E-3</c:v>
                </c:pt>
                <c:pt idx="64">
                  <c:v>-1.4617563739376773E-5</c:v>
                </c:pt>
                <c:pt idx="65">
                  <c:v>-1.1676980323099306E-3</c:v>
                </c:pt>
                <c:pt idx="66">
                  <c:v>-1.4032535027945793E-3</c:v>
                </c:pt>
                <c:pt idx="67">
                  <c:v>-1.2848131077252891E-3</c:v>
                </c:pt>
                <c:pt idx="68">
                  <c:v>-1.3511875047852386E-3</c:v>
                </c:pt>
                <c:pt idx="69">
                  <c:v>-1.0130343771533575E-3</c:v>
                </c:pt>
                <c:pt idx="70">
                  <c:v>-2.5489365285965855E-4</c:v>
                </c:pt>
                <c:pt idx="71">
                  <c:v>5.5875292856595973E-4</c:v>
                </c:pt>
                <c:pt idx="72">
                  <c:v>-9.3546435954367977E-4</c:v>
                </c:pt>
                <c:pt idx="73">
                  <c:v>7.3804042569481667E-4</c:v>
                </c:pt>
                <c:pt idx="74">
                  <c:v>8.4192022050379002E-5</c:v>
                </c:pt>
                <c:pt idx="75">
                  <c:v>-3.0409769542914018E-5</c:v>
                </c:pt>
                <c:pt idx="76">
                  <c:v>4.4643932317586712E-4</c:v>
                </c:pt>
                <c:pt idx="77">
                  <c:v>-5.1870209019217524E-4</c:v>
                </c:pt>
                <c:pt idx="78">
                  <c:v>1.0975851772452338E-4</c:v>
                </c:pt>
                <c:pt idx="79">
                  <c:v>2.647396064619861E-4</c:v>
                </c:pt>
                <c:pt idx="80">
                  <c:v>9.4046244544828127E-5</c:v>
                </c:pt>
              </c:numCache>
            </c:numRef>
          </c:yVal>
          <c:smooth val="1"/>
        </c:ser>
        <c:ser>
          <c:idx val="5"/>
          <c:order val="5"/>
          <c:marker>
            <c:symbol val="none"/>
          </c:marker>
          <c:xVal>
            <c:numRef>
              <c:f>SensArea!$D$26:$D$106</c:f>
              <c:numCache>
                <c:formatCode>General</c:formatCode>
                <c:ptCount val="81"/>
                <c:pt idx="0">
                  <c:v>0.79432823472428149</c:v>
                </c:pt>
                <c:pt idx="1">
                  <c:v>0.90157113760595697</c:v>
                </c:pt>
                <c:pt idx="2">
                  <c:v>1.0232929922807541</c:v>
                </c:pt>
                <c:pt idx="3">
                  <c:v>1.1614486138403428</c:v>
                </c:pt>
                <c:pt idx="4">
                  <c:v>1.3182567385564072</c:v>
                </c:pt>
                <c:pt idx="5">
                  <c:v>1.4962356560944334</c:v>
                </c:pt>
                <c:pt idx="6">
                  <c:v>1.6982436524617444</c:v>
                </c:pt>
                <c:pt idx="7">
                  <c:v>1.9275249131909362</c:v>
                </c:pt>
                <c:pt idx="8">
                  <c:v>2.1877616239495525</c:v>
                </c:pt>
                <c:pt idx="9">
                  <c:v>2.4831331052955701</c:v>
                </c:pt>
                <c:pt idx="10">
                  <c:v>2.8183829312644537</c:v>
                </c:pt>
                <c:pt idx="11">
                  <c:v>3.198895109691398</c:v>
                </c:pt>
                <c:pt idx="12">
                  <c:v>3.630780547701014</c:v>
                </c:pt>
                <c:pt idx="13">
                  <c:v>4.1209751909733034</c:v>
                </c:pt>
                <c:pt idx="14">
                  <c:v>4.6773514128719844</c:v>
                </c:pt>
                <c:pt idx="15">
                  <c:v>5.3088444423098871</c:v>
                </c:pt>
                <c:pt idx="16">
                  <c:v>6.0255958607435822</c:v>
                </c:pt>
                <c:pt idx="17">
                  <c:v>6.8391164728142995</c:v>
                </c:pt>
                <c:pt idx="18">
                  <c:v>7.7624711662869235</c:v>
                </c:pt>
                <c:pt idx="19">
                  <c:v>8.8104887300801522</c:v>
                </c:pt>
                <c:pt idx="20">
                  <c:v>10.000000000000011</c:v>
                </c:pt>
                <c:pt idx="21">
                  <c:v>11.350108156723163</c:v>
                </c:pt>
                <c:pt idx="22">
                  <c:v>12.882495516931352</c:v>
                </c:pt>
                <c:pt idx="23">
                  <c:v>14.621771744567194</c:v>
                </c:pt>
                <c:pt idx="24">
                  <c:v>16.595869074375621</c:v>
                </c:pt>
                <c:pt idx="25">
                  <c:v>18.83649089489802</c:v>
                </c:pt>
                <c:pt idx="26">
                  <c:v>21.379620895022335</c:v>
                </c:pt>
                <c:pt idx="27">
                  <c:v>24.266100950824168</c:v>
                </c:pt>
                <c:pt idx="28">
                  <c:v>27.542287033381665</c:v>
                </c:pt>
                <c:pt idx="29">
                  <c:v>31.260793671239547</c:v>
                </c:pt>
                <c:pt idx="30">
                  <c:v>35.481338923357541</c:v>
                </c:pt>
                <c:pt idx="31">
                  <c:v>40.271703432545898</c:v>
                </c:pt>
                <c:pt idx="32">
                  <c:v>45.708818961487488</c:v>
                </c:pt>
                <c:pt idx="33">
                  <c:v>51.880003892896092</c:v>
                </c:pt>
                <c:pt idx="34">
                  <c:v>58.884365535558842</c:v>
                </c:pt>
                <c:pt idx="35">
                  <c:v>66.834391756861422</c:v>
                </c:pt>
                <c:pt idx="36">
                  <c:v>75.85775750291829</c:v>
                </c:pt>
                <c:pt idx="37">
                  <c:v>86.099375218459997</c:v>
                </c:pt>
                <c:pt idx="38">
                  <c:v>97.723722095580953</c:v>
                </c:pt>
                <c:pt idx="39">
                  <c:v>110.91748152624001</c:v>
                </c:pt>
                <c:pt idx="40">
                  <c:v>125.89254117941665</c:v>
                </c:pt>
                <c:pt idx="41">
                  <c:v>142.88939585111027</c:v>
                </c:pt>
                <c:pt idx="42">
                  <c:v>162.18100973589304</c:v>
                </c:pt>
                <c:pt idx="43">
                  <c:v>184.07720014689568</c:v>
                </c:pt>
                <c:pt idx="44">
                  <c:v>208.92961308540416</c:v>
                </c:pt>
                <c:pt idx="45">
                  <c:v>237.13737056616583</c:v>
                </c:pt>
                <c:pt idx="46">
                  <c:v>269.15348039269202</c:v>
                </c:pt>
                <c:pt idx="47">
                  <c:v>305.49211132155193</c:v>
                </c:pt>
                <c:pt idx="48">
                  <c:v>346.73685045253245</c:v>
                </c:pt>
                <c:pt idx="49">
                  <c:v>393.55007545577854</c:v>
                </c:pt>
                <c:pt idx="50">
                  <c:v>446.6835921509645</c:v>
                </c:pt>
                <c:pt idx="51">
                  <c:v>506.99070827470609</c:v>
                </c:pt>
                <c:pt idx="52">
                  <c:v>575.43993733715911</c:v>
                </c:pt>
                <c:pt idx="53">
                  <c:v>653.13055264747504</c:v>
                </c:pt>
                <c:pt idx="54">
                  <c:v>741.31024130092089</c:v>
                </c:pt>
                <c:pt idx="55">
                  <c:v>841.39514164519926</c:v>
                </c:pt>
                <c:pt idx="56">
                  <c:v>954.99258602144096</c:v>
                </c:pt>
                <c:pt idx="57">
                  <c:v>1083.9269140212107</c:v>
                </c:pt>
                <c:pt idx="58">
                  <c:v>1230.2687708123901</c:v>
                </c:pt>
                <c:pt idx="59">
                  <c:v>1396.3683610559478</c:v>
                </c:pt>
                <c:pt idx="60">
                  <c:v>1584.8931924611256</c:v>
                </c:pt>
                <c:pt idx="61">
                  <c:v>1798.8709151288022</c:v>
                </c:pt>
                <c:pt idx="62">
                  <c:v>2041.7379446695463</c:v>
                </c:pt>
                <c:pt idx="63">
                  <c:v>2317.3946499684989</c:v>
                </c:pt>
                <c:pt idx="64">
                  <c:v>2630.2679918954059</c:v>
                </c:pt>
                <c:pt idx="65">
                  <c:v>2985.3826189179877</c:v>
                </c:pt>
                <c:pt idx="66">
                  <c:v>3388.4415613920555</c:v>
                </c:pt>
                <c:pt idx="67">
                  <c:v>3845.9178204535747</c:v>
                </c:pt>
                <c:pt idx="68">
                  <c:v>4365.1583224017013</c:v>
                </c:pt>
                <c:pt idx="69">
                  <c:v>4954.501908047956</c:v>
                </c:pt>
                <c:pt idx="70">
                  <c:v>5623.4132519035493</c:v>
                </c:pt>
                <c:pt idx="71">
                  <c:v>6382.6348619055607</c:v>
                </c:pt>
                <c:pt idx="72">
                  <c:v>7244.3596007499809</c:v>
                </c:pt>
                <c:pt idx="73">
                  <c:v>8222.4264994708137</c:v>
                </c:pt>
                <c:pt idx="74">
                  <c:v>9332.54300797002</c:v>
                </c:pt>
                <c:pt idx="75">
                  <c:v>10592.537251773008</c:v>
                </c:pt>
                <c:pt idx="76">
                  <c:v>12022.644346174258</c:v>
                </c:pt>
                <c:pt idx="77">
                  <c:v>13645.831365889386</c:v>
                </c:pt>
                <c:pt idx="78">
                  <c:v>15488.166189124964</c:v>
                </c:pt>
                <c:pt idx="79">
                  <c:v>17579.236139587087</c:v>
                </c:pt>
                <c:pt idx="80">
                  <c:v>19952.62314968897</c:v>
                </c:pt>
              </c:numCache>
            </c:numRef>
          </c:xVal>
          <c:yVal>
            <c:numRef>
              <c:f>SensArea!$J$26:$J$106</c:f>
              <c:numCache>
                <c:formatCode>0.0</c:formatCode>
                <c:ptCount val="81"/>
                <c:pt idx="0">
                  <c:v>94.533523737386119</c:v>
                </c:pt>
                <c:pt idx="1">
                  <c:v>93.347795410152372</c:v>
                </c:pt>
                <c:pt idx="2">
                  <c:v>92.18088877742899</c:v>
                </c:pt>
                <c:pt idx="3">
                  <c:v>91.067461419033762</c:v>
                </c:pt>
                <c:pt idx="4">
                  <c:v>89.90444640808515</c:v>
                </c:pt>
                <c:pt idx="5">
                  <c:v>88.860720120358337</c:v>
                </c:pt>
                <c:pt idx="6">
                  <c:v>87.848662832248692</c:v>
                </c:pt>
                <c:pt idx="7">
                  <c:v>86.787003358088967</c:v>
                </c:pt>
                <c:pt idx="8">
                  <c:v>85.784539529745047</c:v>
                </c:pt>
                <c:pt idx="9">
                  <c:v>84.812271648878351</c:v>
                </c:pt>
                <c:pt idx="10">
                  <c:v>83.846691371411069</c:v>
                </c:pt>
                <c:pt idx="11">
                  <c:v>82.880128557997097</c:v>
                </c:pt>
                <c:pt idx="12">
                  <c:v>81.975060313299139</c:v>
                </c:pt>
                <c:pt idx="13">
                  <c:v>81.071070059260393</c:v>
                </c:pt>
                <c:pt idx="14">
                  <c:v>80.180642072735637</c:v>
                </c:pt>
                <c:pt idx="15">
                  <c:v>79.292287975346468</c:v>
                </c:pt>
                <c:pt idx="16">
                  <c:v>78.422445126559992</c:v>
                </c:pt>
                <c:pt idx="17">
                  <c:v>77.554710355102983</c:v>
                </c:pt>
                <c:pt idx="18">
                  <c:v>76.677748587397602</c:v>
                </c:pt>
                <c:pt idx="19">
                  <c:v>76.923540544368734</c:v>
                </c:pt>
                <c:pt idx="20">
                  <c:v>75.984626005206351</c:v>
                </c:pt>
                <c:pt idx="21">
                  <c:v>75.014419960646194</c:v>
                </c:pt>
                <c:pt idx="22">
                  <c:v>74.009672985529448</c:v>
                </c:pt>
                <c:pt idx="23">
                  <c:v>72.966460223566344</c:v>
                </c:pt>
                <c:pt idx="24">
                  <c:v>71.882236893805995</c:v>
                </c:pt>
                <c:pt idx="25">
                  <c:v>70.754469777046168</c:v>
                </c:pt>
                <c:pt idx="26">
                  <c:v>69.58826877941965</c:v>
                </c:pt>
                <c:pt idx="27">
                  <c:v>68.373192817701565</c:v>
                </c:pt>
                <c:pt idx="28">
                  <c:v>67.13225139116453</c:v>
                </c:pt>
                <c:pt idx="29">
                  <c:v>65.845789125947491</c:v>
                </c:pt>
                <c:pt idx="30">
                  <c:v>64.527865851313081</c:v>
                </c:pt>
                <c:pt idx="31">
                  <c:v>63.182453377995564</c:v>
                </c:pt>
                <c:pt idx="32">
                  <c:v>61.812538450042112</c:v>
                </c:pt>
                <c:pt idx="33">
                  <c:v>60.421456993492079</c:v>
                </c:pt>
                <c:pt idx="34">
                  <c:v>59.013685201745659</c:v>
                </c:pt>
                <c:pt idx="35">
                  <c:v>57.592167134369497</c:v>
                </c:pt>
                <c:pt idx="36">
                  <c:v>56.159883360385884</c:v>
                </c:pt>
                <c:pt idx="37">
                  <c:v>54.71964744981242</c:v>
                </c:pt>
                <c:pt idx="38">
                  <c:v>53.273442724446831</c:v>
                </c:pt>
                <c:pt idx="39">
                  <c:v>51.821193908429684</c:v>
                </c:pt>
                <c:pt idx="40">
                  <c:v>50.362929723298372</c:v>
                </c:pt>
                <c:pt idx="41">
                  <c:v>48.89730592925504</c:v>
                </c:pt>
                <c:pt idx="42">
                  <c:v>47.422028292780034</c:v>
                </c:pt>
                <c:pt idx="43">
                  <c:v>45.933135598805613</c:v>
                </c:pt>
                <c:pt idx="44">
                  <c:v>44.426454573769242</c:v>
                </c:pt>
                <c:pt idx="45">
                  <c:v>42.895728747415973</c:v>
                </c:pt>
                <c:pt idx="46">
                  <c:v>41.334039358548353</c:v>
                </c:pt>
                <c:pt idx="47">
                  <c:v>39.732301827425168</c:v>
                </c:pt>
                <c:pt idx="48">
                  <c:v>38.080302165377844</c:v>
                </c:pt>
                <c:pt idx="49">
                  <c:v>36.366887275553175</c:v>
                </c:pt>
                <c:pt idx="50">
                  <c:v>34.58055100467039</c:v>
                </c:pt>
                <c:pt idx="51">
                  <c:v>32.710951094709444</c:v>
                </c:pt>
                <c:pt idx="52">
                  <c:v>30.749961488094325</c:v>
                </c:pt>
                <c:pt idx="53">
                  <c:v>28.694568777735245</c:v>
                </c:pt>
                <c:pt idx="54">
                  <c:v>26.546503346451267</c:v>
                </c:pt>
                <c:pt idx="55">
                  <c:v>24.314136419416585</c:v>
                </c:pt>
                <c:pt idx="56">
                  <c:v>22.013971004670395</c:v>
                </c:pt>
                <c:pt idx="57">
                  <c:v>19.668719610902688</c:v>
                </c:pt>
                <c:pt idx="58">
                  <c:v>17.310282062935457</c:v>
                </c:pt>
                <c:pt idx="59">
                  <c:v>14.97487757461144</c:v>
                </c:pt>
                <c:pt idx="60">
                  <c:v>12.703939188423552</c:v>
                </c:pt>
                <c:pt idx="61">
                  <c:v>10.540527606155731</c:v>
                </c:pt>
                <c:pt idx="62">
                  <c:v>8.5280605238496303</c:v>
                </c:pt>
                <c:pt idx="63">
                  <c:v>6.7055123083990518</c:v>
                </c:pt>
                <c:pt idx="64">
                  <c:v>5.1037353502794582</c:v>
                </c:pt>
                <c:pt idx="65">
                  <c:v>3.7438028769619476</c:v>
                </c:pt>
                <c:pt idx="66">
                  <c:v>2.6338322696577601</c:v>
                </c:pt>
                <c:pt idx="67">
                  <c:v>1.7669350028328612</c:v>
                </c:pt>
                <c:pt idx="68">
                  <c:v>1.1226869676135061</c:v>
                </c:pt>
                <c:pt idx="69">
                  <c:v>0.67079970921062715</c:v>
                </c:pt>
                <c:pt idx="70">
                  <c:v>0.37397364857208482</c:v>
                </c:pt>
                <c:pt idx="71">
                  <c:v>0.19320559666181764</c:v>
                </c:pt>
                <c:pt idx="72">
                  <c:v>8.9518258020059721E-2</c:v>
                </c:pt>
                <c:pt idx="73">
                  <c:v>3.9872264298292631E-2</c:v>
                </c:pt>
                <c:pt idx="74">
                  <c:v>1.5464311614730879E-2</c:v>
                </c:pt>
                <c:pt idx="75">
                  <c:v>5.6383039583492844E-3</c:v>
                </c:pt>
                <c:pt idx="76">
                  <c:v>2.9067958043028867E-3</c:v>
                </c:pt>
                <c:pt idx="77">
                  <c:v>-2.0177796493377231E-4</c:v>
                </c:pt>
                <c:pt idx="78">
                  <c:v>2.3201408774213309E-4</c:v>
                </c:pt>
                <c:pt idx="79">
                  <c:v>1.9758058341627749E-4</c:v>
                </c:pt>
                <c:pt idx="80">
                  <c:v>-3.1348105045555472E-4</c:v>
                </c:pt>
              </c:numCache>
            </c:numRef>
          </c:yVal>
          <c:smooth val="1"/>
        </c:ser>
        <c:ser>
          <c:idx val="6"/>
          <c:order val="6"/>
          <c:marker>
            <c:symbol val="none"/>
          </c:marker>
          <c:xVal>
            <c:numRef>
              <c:f>SensArea!$D$26:$D$106</c:f>
              <c:numCache>
                <c:formatCode>General</c:formatCode>
                <c:ptCount val="81"/>
                <c:pt idx="0">
                  <c:v>0.79432823472428149</c:v>
                </c:pt>
                <c:pt idx="1">
                  <c:v>0.90157113760595697</c:v>
                </c:pt>
                <c:pt idx="2">
                  <c:v>1.0232929922807541</c:v>
                </c:pt>
                <c:pt idx="3">
                  <c:v>1.1614486138403428</c:v>
                </c:pt>
                <c:pt idx="4">
                  <c:v>1.3182567385564072</c:v>
                </c:pt>
                <c:pt idx="5">
                  <c:v>1.4962356560944334</c:v>
                </c:pt>
                <c:pt idx="6">
                  <c:v>1.6982436524617444</c:v>
                </c:pt>
                <c:pt idx="7">
                  <c:v>1.9275249131909362</c:v>
                </c:pt>
                <c:pt idx="8">
                  <c:v>2.1877616239495525</c:v>
                </c:pt>
                <c:pt idx="9">
                  <c:v>2.4831331052955701</c:v>
                </c:pt>
                <c:pt idx="10">
                  <c:v>2.8183829312644537</c:v>
                </c:pt>
                <c:pt idx="11">
                  <c:v>3.198895109691398</c:v>
                </c:pt>
                <c:pt idx="12">
                  <c:v>3.630780547701014</c:v>
                </c:pt>
                <c:pt idx="13">
                  <c:v>4.1209751909733034</c:v>
                </c:pt>
                <c:pt idx="14">
                  <c:v>4.6773514128719844</c:v>
                </c:pt>
                <c:pt idx="15">
                  <c:v>5.3088444423098871</c:v>
                </c:pt>
                <c:pt idx="16">
                  <c:v>6.0255958607435822</c:v>
                </c:pt>
                <c:pt idx="17">
                  <c:v>6.8391164728142995</c:v>
                </c:pt>
                <c:pt idx="18">
                  <c:v>7.7624711662869235</c:v>
                </c:pt>
                <c:pt idx="19">
                  <c:v>8.8104887300801522</c:v>
                </c:pt>
                <c:pt idx="20">
                  <c:v>10.000000000000011</c:v>
                </c:pt>
                <c:pt idx="21">
                  <c:v>11.350108156723163</c:v>
                </c:pt>
                <c:pt idx="22">
                  <c:v>12.882495516931352</c:v>
                </c:pt>
                <c:pt idx="23">
                  <c:v>14.621771744567194</c:v>
                </c:pt>
                <c:pt idx="24">
                  <c:v>16.595869074375621</c:v>
                </c:pt>
                <c:pt idx="25">
                  <c:v>18.83649089489802</c:v>
                </c:pt>
                <c:pt idx="26">
                  <c:v>21.379620895022335</c:v>
                </c:pt>
                <c:pt idx="27">
                  <c:v>24.266100950824168</c:v>
                </c:pt>
                <c:pt idx="28">
                  <c:v>27.542287033381665</c:v>
                </c:pt>
                <c:pt idx="29">
                  <c:v>31.260793671239547</c:v>
                </c:pt>
                <c:pt idx="30">
                  <c:v>35.481338923357541</c:v>
                </c:pt>
                <c:pt idx="31">
                  <c:v>40.271703432545898</c:v>
                </c:pt>
                <c:pt idx="32">
                  <c:v>45.708818961487488</c:v>
                </c:pt>
                <c:pt idx="33">
                  <c:v>51.880003892896092</c:v>
                </c:pt>
                <c:pt idx="34">
                  <c:v>58.884365535558842</c:v>
                </c:pt>
                <c:pt idx="35">
                  <c:v>66.834391756861422</c:v>
                </c:pt>
                <c:pt idx="36">
                  <c:v>75.85775750291829</c:v>
                </c:pt>
                <c:pt idx="37">
                  <c:v>86.099375218459997</c:v>
                </c:pt>
                <c:pt idx="38">
                  <c:v>97.723722095580953</c:v>
                </c:pt>
                <c:pt idx="39">
                  <c:v>110.91748152624001</c:v>
                </c:pt>
                <c:pt idx="40">
                  <c:v>125.89254117941665</c:v>
                </c:pt>
                <c:pt idx="41">
                  <c:v>142.88939585111027</c:v>
                </c:pt>
                <c:pt idx="42">
                  <c:v>162.18100973589304</c:v>
                </c:pt>
                <c:pt idx="43">
                  <c:v>184.07720014689568</c:v>
                </c:pt>
                <c:pt idx="44">
                  <c:v>208.92961308540416</c:v>
                </c:pt>
                <c:pt idx="45">
                  <c:v>237.13737056616583</c:v>
                </c:pt>
                <c:pt idx="46">
                  <c:v>269.15348039269202</c:v>
                </c:pt>
                <c:pt idx="47">
                  <c:v>305.49211132155193</c:v>
                </c:pt>
                <c:pt idx="48">
                  <c:v>346.73685045253245</c:v>
                </c:pt>
                <c:pt idx="49">
                  <c:v>393.55007545577854</c:v>
                </c:pt>
                <c:pt idx="50">
                  <c:v>446.6835921509645</c:v>
                </c:pt>
                <c:pt idx="51">
                  <c:v>506.99070827470609</c:v>
                </c:pt>
                <c:pt idx="52">
                  <c:v>575.43993733715911</c:v>
                </c:pt>
                <c:pt idx="53">
                  <c:v>653.13055264747504</c:v>
                </c:pt>
                <c:pt idx="54">
                  <c:v>741.31024130092089</c:v>
                </c:pt>
                <c:pt idx="55">
                  <c:v>841.39514164519926</c:v>
                </c:pt>
                <c:pt idx="56">
                  <c:v>954.99258602144096</c:v>
                </c:pt>
                <c:pt idx="57">
                  <c:v>1083.9269140212107</c:v>
                </c:pt>
                <c:pt idx="58">
                  <c:v>1230.2687708123901</c:v>
                </c:pt>
                <c:pt idx="59">
                  <c:v>1396.3683610559478</c:v>
                </c:pt>
                <c:pt idx="60">
                  <c:v>1584.8931924611256</c:v>
                </c:pt>
                <c:pt idx="61">
                  <c:v>1798.8709151288022</c:v>
                </c:pt>
                <c:pt idx="62">
                  <c:v>2041.7379446695463</c:v>
                </c:pt>
                <c:pt idx="63">
                  <c:v>2317.3946499684989</c:v>
                </c:pt>
                <c:pt idx="64">
                  <c:v>2630.2679918954059</c:v>
                </c:pt>
                <c:pt idx="65">
                  <c:v>2985.3826189179877</c:v>
                </c:pt>
                <c:pt idx="66">
                  <c:v>3388.4415613920555</c:v>
                </c:pt>
                <c:pt idx="67">
                  <c:v>3845.9178204535747</c:v>
                </c:pt>
                <c:pt idx="68">
                  <c:v>4365.1583224017013</c:v>
                </c:pt>
                <c:pt idx="69">
                  <c:v>4954.501908047956</c:v>
                </c:pt>
                <c:pt idx="70">
                  <c:v>5623.4132519035493</c:v>
                </c:pt>
                <c:pt idx="71">
                  <c:v>6382.6348619055607</c:v>
                </c:pt>
                <c:pt idx="72">
                  <c:v>7244.3596007499809</c:v>
                </c:pt>
                <c:pt idx="73">
                  <c:v>8222.4264994708137</c:v>
                </c:pt>
                <c:pt idx="74">
                  <c:v>9332.54300797002</c:v>
                </c:pt>
                <c:pt idx="75">
                  <c:v>10592.537251773008</c:v>
                </c:pt>
                <c:pt idx="76">
                  <c:v>12022.644346174258</c:v>
                </c:pt>
                <c:pt idx="77">
                  <c:v>13645.831365889386</c:v>
                </c:pt>
                <c:pt idx="78">
                  <c:v>15488.166189124964</c:v>
                </c:pt>
                <c:pt idx="79">
                  <c:v>17579.236139587087</c:v>
                </c:pt>
                <c:pt idx="80">
                  <c:v>19952.62314968897</c:v>
                </c:pt>
              </c:numCache>
            </c:numRef>
          </c:xVal>
          <c:yVal>
            <c:numRef>
              <c:f>SensArea!$K$26:$K$106</c:f>
              <c:numCache>
                <c:formatCode>0.0</c:formatCode>
                <c:ptCount val="81"/>
                <c:pt idx="0">
                  <c:v>94.535085127938146</c:v>
                </c:pt>
                <c:pt idx="1">
                  <c:v>93.34195637148764</c:v>
                </c:pt>
                <c:pt idx="2">
                  <c:v>92.200514057116607</c:v>
                </c:pt>
                <c:pt idx="3">
                  <c:v>91.009171335885469</c:v>
                </c:pt>
                <c:pt idx="4">
                  <c:v>90.078966912334437</c:v>
                </c:pt>
                <c:pt idx="5">
                  <c:v>88.796653247683949</c:v>
                </c:pt>
                <c:pt idx="6">
                  <c:v>87.73753835372483</c:v>
                </c:pt>
                <c:pt idx="7">
                  <c:v>86.797856766863191</c:v>
                </c:pt>
                <c:pt idx="8">
                  <c:v>85.741779757752099</c:v>
                </c:pt>
                <c:pt idx="9">
                  <c:v>84.812968544215622</c:v>
                </c:pt>
                <c:pt idx="10">
                  <c:v>83.838721710741908</c:v>
                </c:pt>
                <c:pt idx="11">
                  <c:v>82.86727182451574</c:v>
                </c:pt>
                <c:pt idx="12">
                  <c:v>81.973201267896798</c:v>
                </c:pt>
                <c:pt idx="13">
                  <c:v>81.062929695122889</c:v>
                </c:pt>
                <c:pt idx="14">
                  <c:v>80.177542167062256</c:v>
                </c:pt>
                <c:pt idx="15">
                  <c:v>79.300368518643296</c:v>
                </c:pt>
                <c:pt idx="16">
                  <c:v>78.427914262307638</c:v>
                </c:pt>
                <c:pt idx="17">
                  <c:v>77.573582613888689</c:v>
                </c:pt>
                <c:pt idx="18">
                  <c:v>76.684287788071359</c:v>
                </c:pt>
                <c:pt idx="19">
                  <c:v>75.763287571242628</c:v>
                </c:pt>
                <c:pt idx="20">
                  <c:v>74.872811993109266</c:v>
                </c:pt>
                <c:pt idx="21">
                  <c:v>73.920982070132453</c:v>
                </c:pt>
                <c:pt idx="22">
                  <c:v>72.95733155179542</c:v>
                </c:pt>
                <c:pt idx="23">
                  <c:v>71.927603404639768</c:v>
                </c:pt>
                <c:pt idx="24">
                  <c:v>70.887064288339346</c:v>
                </c:pt>
                <c:pt idx="25">
                  <c:v>69.782475792205815</c:v>
                </c:pt>
                <c:pt idx="26">
                  <c:v>68.648435493760061</c:v>
                </c:pt>
                <c:pt idx="27">
                  <c:v>67.484015573692673</c:v>
                </c:pt>
                <c:pt idx="28">
                  <c:v>70.998692383278467</c:v>
                </c:pt>
                <c:pt idx="29">
                  <c:v>69.556169276471934</c:v>
                </c:pt>
                <c:pt idx="30">
                  <c:v>68.092234205650414</c:v>
                </c:pt>
                <c:pt idx="31">
                  <c:v>66.602546583569406</c:v>
                </c:pt>
                <c:pt idx="32">
                  <c:v>65.074338171349822</c:v>
                </c:pt>
                <c:pt idx="33">
                  <c:v>63.556409070209028</c:v>
                </c:pt>
                <c:pt idx="34">
                  <c:v>62.028356870683716</c:v>
                </c:pt>
                <c:pt idx="35">
                  <c:v>60.500695234361849</c:v>
                </c:pt>
                <c:pt idx="36">
                  <c:v>58.98063129775668</c:v>
                </c:pt>
                <c:pt idx="37">
                  <c:v>57.474113442309168</c:v>
                </c:pt>
                <c:pt idx="38">
                  <c:v>55.986114414822758</c:v>
                </c:pt>
                <c:pt idx="39">
                  <c:v>54.520826828420489</c:v>
                </c:pt>
                <c:pt idx="40">
                  <c:v>53.081293994181152</c:v>
                </c:pt>
                <c:pt idx="41">
                  <c:v>51.669727650562749</c:v>
                </c:pt>
                <c:pt idx="42">
                  <c:v>50.286827650869</c:v>
                </c:pt>
                <c:pt idx="43">
                  <c:v>48.932906442079478</c:v>
                </c:pt>
                <c:pt idx="44">
                  <c:v>47.60631384962867</c:v>
                </c:pt>
                <c:pt idx="45">
                  <c:v>46.305455112931632</c:v>
                </c:pt>
                <c:pt idx="46">
                  <c:v>45.027609431590236</c:v>
                </c:pt>
                <c:pt idx="47">
                  <c:v>43.769607876732259</c:v>
                </c:pt>
                <c:pt idx="48">
                  <c:v>42.527577239108801</c:v>
                </c:pt>
                <c:pt idx="49">
                  <c:v>41.297785888063707</c:v>
                </c:pt>
                <c:pt idx="50">
                  <c:v>40.076262390934851</c:v>
                </c:pt>
                <c:pt idx="51">
                  <c:v>38.858142399203743</c:v>
                </c:pt>
                <c:pt idx="52">
                  <c:v>37.639264686164921</c:v>
                </c:pt>
                <c:pt idx="53">
                  <c:v>36.415337288875286</c:v>
                </c:pt>
                <c:pt idx="54">
                  <c:v>35.181784963172809</c:v>
                </c:pt>
                <c:pt idx="55">
                  <c:v>33.934126650792436</c:v>
                </c:pt>
                <c:pt idx="56">
                  <c:v>32.668469378454944</c:v>
                </c:pt>
                <c:pt idx="57">
                  <c:v>31.380632511905674</c:v>
                </c:pt>
                <c:pt idx="58">
                  <c:v>30.067254540234288</c:v>
                </c:pt>
                <c:pt idx="59">
                  <c:v>28.725162234285278</c:v>
                </c:pt>
                <c:pt idx="60">
                  <c:v>27.351801577214612</c:v>
                </c:pt>
                <c:pt idx="61">
                  <c:v>25.945367353188885</c:v>
                </c:pt>
                <c:pt idx="62">
                  <c:v>24.505064736084528</c:v>
                </c:pt>
                <c:pt idx="63">
                  <c:v>23.031063671847484</c:v>
                </c:pt>
                <c:pt idx="64">
                  <c:v>21.524502942194321</c:v>
                </c:pt>
                <c:pt idx="65">
                  <c:v>19.987888709134065</c:v>
                </c:pt>
                <c:pt idx="66">
                  <c:v>18.425306362606232</c:v>
                </c:pt>
                <c:pt idx="67">
                  <c:v>16.842383968761965</c:v>
                </c:pt>
                <c:pt idx="68">
                  <c:v>15.24649717954215</c:v>
                </c:pt>
                <c:pt idx="69">
                  <c:v>13.647889161319961</c:v>
                </c:pt>
                <c:pt idx="70">
                  <c:v>12.059608505627441</c:v>
                </c:pt>
                <c:pt idx="71">
                  <c:v>10.49779355133604</c:v>
                </c:pt>
                <c:pt idx="72">
                  <c:v>8.9803932780032163</c:v>
                </c:pt>
                <c:pt idx="73">
                  <c:v>7.5324096249904304</c:v>
                </c:pt>
                <c:pt idx="74">
                  <c:v>6.173837409233597</c:v>
                </c:pt>
                <c:pt idx="75">
                  <c:v>4.9294932738687702</c:v>
                </c:pt>
                <c:pt idx="76">
                  <c:v>3.8203947121966162</c:v>
                </c:pt>
                <c:pt idx="77">
                  <c:v>2.8600887719163928</c:v>
                </c:pt>
                <c:pt idx="78">
                  <c:v>2.0607612104739301</c:v>
                </c:pt>
                <c:pt idx="79">
                  <c:v>1.4205222235663426</c:v>
                </c:pt>
                <c:pt idx="80">
                  <c:v>0.93078910680652338</c:v>
                </c:pt>
              </c:numCache>
            </c:numRef>
          </c:yVal>
          <c:smooth val="1"/>
        </c:ser>
        <c:axId val="155459584"/>
        <c:axId val="155461504"/>
      </c:scatterChart>
      <c:valAx>
        <c:axId val="155459584"/>
        <c:scaling>
          <c:logBase val="10"/>
          <c:orientation val="minMax"/>
          <c:min val="1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days</a:t>
                </a:r>
              </a:p>
            </c:rich>
          </c:tx>
        </c:title>
        <c:numFmt formatCode="General" sourceLinked="0"/>
        <c:minorTickMark val="in"/>
        <c:tickLblPos val="nextTo"/>
        <c:crossAx val="155461504"/>
        <c:crossesAt val="1"/>
        <c:crossBetween val="midCat"/>
      </c:valAx>
      <c:valAx>
        <c:axId val="155461504"/>
        <c:scaling>
          <c:logBase val="10"/>
          <c:orientation val="minMax"/>
          <c:max val="100"/>
          <c:min val="1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Oil Rate (bopd)</a:t>
                </a:r>
              </a:p>
            </c:rich>
          </c:tx>
          <c:layout>
            <c:manualLayout>
              <c:xMode val="edge"/>
              <c:yMode val="edge"/>
              <c:x val="1.1222541225165909E-2"/>
              <c:y val="0.2758674967085713"/>
            </c:manualLayout>
          </c:layout>
        </c:title>
        <c:numFmt formatCode="0" sourceLinked="0"/>
        <c:minorTickMark val="in"/>
        <c:tickLblPos val="nextTo"/>
        <c:crossAx val="155459584"/>
        <c:crossesAt val="0"/>
        <c:crossBetween val="midCat"/>
      </c:valAx>
      <c:spPr>
        <a:ln>
          <a:solidFill>
            <a:schemeClr val="bg1">
              <a:lumMod val="50000"/>
            </a:schemeClr>
          </a:solidFill>
        </a:ln>
      </c:spPr>
    </c:plotArea>
    <c:plotVisOnly val="1"/>
  </c:chart>
  <c:printSettings>
    <c:headerFooter/>
    <c:pageMargins b="0.75000000000000511" l="0.70000000000000062" r="0.70000000000000062" t="0.75000000000000511" header="0.30000000000000032" footer="0.30000000000000032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SensArea!$W$16</c:f>
          <c:strCache>
            <c:ptCount val="1"/>
            <c:pt idx="0">
              <c:v>Model Geometry &amp; Well Location_x000d_Area: 13Acres</c:v>
            </c:pt>
          </c:strCache>
        </c:strRef>
      </c:tx>
      <c:txPr>
        <a:bodyPr/>
        <a:lstStyle/>
        <a:p>
          <a:pPr>
            <a:defRPr sz="1000">
              <a:solidFill>
                <a:srgbClr val="FF0000"/>
              </a:solidFill>
            </a:defRPr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v>Res Geometry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SensArea!$W$9:$W$13</c:f>
              <c:numCache>
                <c:formatCode>General</c:formatCode>
                <c:ptCount val="5"/>
                <c:pt idx="0">
                  <c:v>0</c:v>
                </c:pt>
                <c:pt idx="1">
                  <c:v>440</c:v>
                </c:pt>
                <c:pt idx="2">
                  <c:v>440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SensArea!$X$9:$X$13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1320</c:v>
                </c:pt>
                <c:pt idx="3">
                  <c:v>1320</c:v>
                </c:pt>
                <c:pt idx="4">
                  <c:v>0</c:v>
                </c:pt>
              </c:numCache>
            </c:numRef>
          </c:yVal>
        </c:ser>
        <c:ser>
          <c:idx val="1"/>
          <c:order val="1"/>
          <c:tx>
            <c:v>Well Location</c:v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rgbClr val="00FF00"/>
              </a:solidFill>
              <a:ln>
                <a:noFill/>
              </a:ln>
            </c:spPr>
          </c:marker>
          <c:xVal>
            <c:numRef>
              <c:f>SensArea!$Y$9</c:f>
              <c:numCache>
                <c:formatCode>General</c:formatCode>
                <c:ptCount val="1"/>
                <c:pt idx="0">
                  <c:v>220</c:v>
                </c:pt>
              </c:numCache>
            </c:numRef>
          </c:xVal>
          <c:yVal>
            <c:numRef>
              <c:f>SensArea!$Z$9</c:f>
              <c:numCache>
                <c:formatCode>General</c:formatCode>
                <c:ptCount val="1"/>
                <c:pt idx="0">
                  <c:v>660</c:v>
                </c:pt>
              </c:numCache>
            </c:numRef>
          </c:yVal>
        </c:ser>
        <c:ser>
          <c:idx val="2"/>
          <c:order val="2"/>
          <c:tx>
            <c:v>Fracture Geometry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SensArea!$AA$9:$AA$10</c:f>
              <c:numCache>
                <c:formatCode>General</c:formatCode>
                <c:ptCount val="2"/>
                <c:pt idx="0">
                  <c:v>217</c:v>
                </c:pt>
                <c:pt idx="1">
                  <c:v>223</c:v>
                </c:pt>
              </c:numCache>
            </c:numRef>
          </c:xVal>
          <c:yVal>
            <c:numRef>
              <c:f>SensArea!$AB$9:$AB$10</c:f>
              <c:numCache>
                <c:formatCode>General</c:formatCode>
                <c:ptCount val="2"/>
                <c:pt idx="0">
                  <c:v>660</c:v>
                </c:pt>
                <c:pt idx="1">
                  <c:v>660</c:v>
                </c:pt>
              </c:numCache>
            </c:numRef>
          </c:yVal>
        </c:ser>
        <c:axId val="155620864"/>
        <c:axId val="155622400"/>
      </c:scatterChart>
      <c:valAx>
        <c:axId val="155620864"/>
        <c:scaling>
          <c:orientation val="minMax"/>
          <c:max val="3000"/>
        </c:scaling>
        <c:axPos val="b"/>
        <c:numFmt formatCode="General" sourceLinked="1"/>
        <c:tickLblPos val="nextTo"/>
        <c:crossAx val="155622400"/>
        <c:crosses val="autoZero"/>
        <c:crossBetween val="midCat"/>
      </c:valAx>
      <c:valAx>
        <c:axId val="155622400"/>
        <c:scaling>
          <c:orientation val="minMax"/>
          <c:max val="3000"/>
          <c:min val="0"/>
        </c:scaling>
        <c:axPos val="l"/>
        <c:numFmt formatCode="General" sourceLinked="1"/>
        <c:tickLblPos val="nextTo"/>
        <c:crossAx val="155620864"/>
        <c:crosses val="autoZero"/>
        <c:crossBetween val="midCat"/>
      </c:valAx>
    </c:plotArea>
    <c:plotVisOnly val="1"/>
  </c:chart>
  <c:spPr>
    <a:ln>
      <a:noFill/>
    </a:ln>
  </c:spPr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0153837181251112"/>
          <c:y val="5.0213475467503974E-2"/>
          <c:w val="0.84626974217316164"/>
          <c:h val="0.77223989165439832"/>
        </c:manualLayout>
      </c:layout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SensSkin!$D$26:$D$106</c:f>
              <c:numCache>
                <c:formatCode>0.0</c:formatCode>
                <c:ptCount val="81"/>
                <c:pt idx="0">
                  <c:v>31</c:v>
                </c:pt>
                <c:pt idx="1">
                  <c:v>59</c:v>
                </c:pt>
                <c:pt idx="2">
                  <c:v>90</c:v>
                </c:pt>
                <c:pt idx="3">
                  <c:v>120</c:v>
                </c:pt>
                <c:pt idx="4">
                  <c:v>151</c:v>
                </c:pt>
                <c:pt idx="5">
                  <c:v>181</c:v>
                </c:pt>
                <c:pt idx="6">
                  <c:v>212</c:v>
                </c:pt>
                <c:pt idx="7">
                  <c:v>243</c:v>
                </c:pt>
                <c:pt idx="8">
                  <c:v>273</c:v>
                </c:pt>
                <c:pt idx="9">
                  <c:v>304</c:v>
                </c:pt>
                <c:pt idx="10">
                  <c:v>334</c:v>
                </c:pt>
                <c:pt idx="11">
                  <c:v>365</c:v>
                </c:pt>
                <c:pt idx="12">
                  <c:v>396</c:v>
                </c:pt>
                <c:pt idx="13">
                  <c:v>424</c:v>
                </c:pt>
                <c:pt idx="14">
                  <c:v>455</c:v>
                </c:pt>
                <c:pt idx="15">
                  <c:v>485</c:v>
                </c:pt>
                <c:pt idx="16">
                  <c:v>516</c:v>
                </c:pt>
                <c:pt idx="17">
                  <c:v>546</c:v>
                </c:pt>
                <c:pt idx="18">
                  <c:v>577</c:v>
                </c:pt>
                <c:pt idx="19">
                  <c:v>608</c:v>
                </c:pt>
                <c:pt idx="20">
                  <c:v>638</c:v>
                </c:pt>
                <c:pt idx="21">
                  <c:v>669</c:v>
                </c:pt>
                <c:pt idx="22">
                  <c:v>699</c:v>
                </c:pt>
                <c:pt idx="23">
                  <c:v>730</c:v>
                </c:pt>
                <c:pt idx="24">
                  <c:v>761</c:v>
                </c:pt>
                <c:pt idx="25">
                  <c:v>789</c:v>
                </c:pt>
                <c:pt idx="26">
                  <c:v>820</c:v>
                </c:pt>
                <c:pt idx="27">
                  <c:v>850</c:v>
                </c:pt>
                <c:pt idx="28">
                  <c:v>881</c:v>
                </c:pt>
                <c:pt idx="29">
                  <c:v>911</c:v>
                </c:pt>
                <c:pt idx="30">
                  <c:v>942</c:v>
                </c:pt>
                <c:pt idx="31">
                  <c:v>973</c:v>
                </c:pt>
                <c:pt idx="32">
                  <c:v>1003</c:v>
                </c:pt>
                <c:pt idx="33">
                  <c:v>1034</c:v>
                </c:pt>
                <c:pt idx="34">
                  <c:v>1064</c:v>
                </c:pt>
                <c:pt idx="35">
                  <c:v>1095</c:v>
                </c:pt>
                <c:pt idx="36">
                  <c:v>1126</c:v>
                </c:pt>
                <c:pt idx="37">
                  <c:v>1155</c:v>
                </c:pt>
                <c:pt idx="38">
                  <c:v>1186</c:v>
                </c:pt>
                <c:pt idx="39">
                  <c:v>1216</c:v>
                </c:pt>
                <c:pt idx="40">
                  <c:v>1247</c:v>
                </c:pt>
                <c:pt idx="41">
                  <c:v>1277</c:v>
                </c:pt>
                <c:pt idx="42">
                  <c:v>1308</c:v>
                </c:pt>
                <c:pt idx="43">
                  <c:v>1339</c:v>
                </c:pt>
                <c:pt idx="44">
                  <c:v>1369</c:v>
                </c:pt>
                <c:pt idx="45">
                  <c:v>1400</c:v>
                </c:pt>
                <c:pt idx="46">
                  <c:v>1430</c:v>
                </c:pt>
                <c:pt idx="47">
                  <c:v>1461</c:v>
                </c:pt>
                <c:pt idx="48">
                  <c:v>1492</c:v>
                </c:pt>
                <c:pt idx="49">
                  <c:v>1520</c:v>
                </c:pt>
                <c:pt idx="50">
                  <c:v>1551</c:v>
                </c:pt>
                <c:pt idx="51">
                  <c:v>1581</c:v>
                </c:pt>
                <c:pt idx="52">
                  <c:v>1612</c:v>
                </c:pt>
                <c:pt idx="53">
                  <c:v>1642</c:v>
                </c:pt>
                <c:pt idx="54">
                  <c:v>1673</c:v>
                </c:pt>
                <c:pt idx="55">
                  <c:v>1704</c:v>
                </c:pt>
                <c:pt idx="56">
                  <c:v>1734</c:v>
                </c:pt>
                <c:pt idx="57">
                  <c:v>1765</c:v>
                </c:pt>
                <c:pt idx="58">
                  <c:v>1795</c:v>
                </c:pt>
                <c:pt idx="59">
                  <c:v>1826</c:v>
                </c:pt>
                <c:pt idx="60">
                  <c:v>1857</c:v>
                </c:pt>
                <c:pt idx="61">
                  <c:v>1885</c:v>
                </c:pt>
                <c:pt idx="62">
                  <c:v>1916</c:v>
                </c:pt>
                <c:pt idx="63">
                  <c:v>1946</c:v>
                </c:pt>
                <c:pt idx="64">
                  <c:v>1977</c:v>
                </c:pt>
                <c:pt idx="65">
                  <c:v>2007</c:v>
                </c:pt>
                <c:pt idx="66">
                  <c:v>2038</c:v>
                </c:pt>
                <c:pt idx="67">
                  <c:v>2069</c:v>
                </c:pt>
                <c:pt idx="68">
                  <c:v>2099</c:v>
                </c:pt>
                <c:pt idx="69">
                  <c:v>2130</c:v>
                </c:pt>
                <c:pt idx="70">
                  <c:v>2160</c:v>
                </c:pt>
                <c:pt idx="71">
                  <c:v>2191</c:v>
                </c:pt>
                <c:pt idx="72">
                  <c:v>2222</c:v>
                </c:pt>
                <c:pt idx="73">
                  <c:v>2250</c:v>
                </c:pt>
                <c:pt idx="74">
                  <c:v>2281</c:v>
                </c:pt>
                <c:pt idx="75">
                  <c:v>2311</c:v>
                </c:pt>
                <c:pt idx="76">
                  <c:v>2342</c:v>
                </c:pt>
                <c:pt idx="77">
                  <c:v>2372</c:v>
                </c:pt>
                <c:pt idx="78">
                  <c:v>2403</c:v>
                </c:pt>
                <c:pt idx="79">
                  <c:v>2434</c:v>
                </c:pt>
                <c:pt idx="80">
                  <c:v>2464</c:v>
                </c:pt>
              </c:numCache>
            </c:numRef>
          </c:xVal>
          <c:yVal>
            <c:numRef>
              <c:f>SensSkin!$E$26:$E$106</c:f>
              <c:numCache>
                <c:formatCode>0.0</c:formatCode>
                <c:ptCount val="81"/>
                <c:pt idx="0">
                  <c:v>96.654452960263384</c:v>
                </c:pt>
                <c:pt idx="1">
                  <c:v>75.695272173493606</c:v>
                </c:pt>
                <c:pt idx="2">
                  <c:v>58.161072273792207</c:v>
                </c:pt>
                <c:pt idx="3">
                  <c:v>45.081828850777121</c:v>
                </c:pt>
                <c:pt idx="4">
                  <c:v>34.648754445295154</c:v>
                </c:pt>
                <c:pt idx="5">
                  <c:v>26.857627057499428</c:v>
                </c:pt>
                <c:pt idx="6">
                  <c:v>20.642304189725138</c:v>
                </c:pt>
                <c:pt idx="7">
                  <c:v>15.865425508307174</c:v>
                </c:pt>
                <c:pt idx="8">
                  <c:v>12.298208720006125</c:v>
                </c:pt>
                <c:pt idx="9">
                  <c:v>9.451933285812725</c:v>
                </c:pt>
                <c:pt idx="10">
                  <c:v>7.3267404622923209</c:v>
                </c:pt>
                <c:pt idx="11">
                  <c:v>5.6311974262307638</c:v>
                </c:pt>
                <c:pt idx="12">
                  <c:v>4.3273570455554706</c:v>
                </c:pt>
                <c:pt idx="13">
                  <c:v>3.4122272459995409</c:v>
                </c:pt>
                <c:pt idx="14">
                  <c:v>2.6214280793201135</c:v>
                </c:pt>
                <c:pt idx="15">
                  <c:v>2.031091753464513</c:v>
                </c:pt>
                <c:pt idx="16">
                  <c:v>1.561705673531889</c:v>
                </c:pt>
                <c:pt idx="17">
                  <c:v>1.2090276631192098</c:v>
                </c:pt>
                <c:pt idx="18">
                  <c:v>0.92853061511369739</c:v>
                </c:pt>
                <c:pt idx="19">
                  <c:v>0.7145256061557308</c:v>
                </c:pt>
                <c:pt idx="20">
                  <c:v>0.55319528581272492</c:v>
                </c:pt>
                <c:pt idx="21">
                  <c:v>0.4243230043641375</c:v>
                </c:pt>
                <c:pt idx="22">
                  <c:v>0.32927643656687849</c:v>
                </c:pt>
                <c:pt idx="23">
                  <c:v>0.25436187627287343</c:v>
                </c:pt>
                <c:pt idx="24">
                  <c:v>0.19440088936528596</c:v>
                </c:pt>
                <c:pt idx="25">
                  <c:v>0.15284647837072199</c:v>
                </c:pt>
                <c:pt idx="26">
                  <c:v>0.1186641636934385</c:v>
                </c:pt>
                <c:pt idx="27">
                  <c:v>9.2619889594977425E-2</c:v>
                </c:pt>
                <c:pt idx="28">
                  <c:v>7.1149857744429987E-2</c:v>
                </c:pt>
                <c:pt idx="29">
                  <c:v>5.4881538779572775E-2</c:v>
                </c:pt>
                <c:pt idx="30">
                  <c:v>4.3800322027409848E-2</c:v>
                </c:pt>
                <c:pt idx="31">
                  <c:v>3.4736840364443765E-2</c:v>
                </c:pt>
                <c:pt idx="32">
                  <c:v>2.7980080545134369E-2</c:v>
                </c:pt>
                <c:pt idx="33">
                  <c:v>2.0405115228542992E-2</c:v>
                </c:pt>
                <c:pt idx="34">
                  <c:v>1.7505986984151289E-2</c:v>
                </c:pt>
                <c:pt idx="35">
                  <c:v>1.4170893805987293E-2</c:v>
                </c:pt>
                <c:pt idx="36">
                  <c:v>1.1827439705994947E-2</c:v>
                </c:pt>
                <c:pt idx="37">
                  <c:v>8.5869325472781571E-3</c:v>
                </c:pt>
                <c:pt idx="38">
                  <c:v>6.2542045785161935E-3</c:v>
                </c:pt>
                <c:pt idx="39">
                  <c:v>5.7743864941428684E-3</c:v>
                </c:pt>
                <c:pt idx="40">
                  <c:v>5.5527232218053751E-3</c:v>
                </c:pt>
                <c:pt idx="41">
                  <c:v>5.1105262996707758E-3</c:v>
                </c:pt>
                <c:pt idx="42">
                  <c:v>2.8929233596202437E-3</c:v>
                </c:pt>
                <c:pt idx="43">
                  <c:v>3.5604264604547895E-3</c:v>
                </c:pt>
                <c:pt idx="44">
                  <c:v>1.9743330525993415E-3</c:v>
                </c:pt>
                <c:pt idx="45">
                  <c:v>1.4484719393614578E-3</c:v>
                </c:pt>
                <c:pt idx="46">
                  <c:v>2.2869715948242862E-3</c:v>
                </c:pt>
                <c:pt idx="47">
                  <c:v>2.3098415129010034E-4</c:v>
                </c:pt>
                <c:pt idx="48">
                  <c:v>2.256105658065998E-3</c:v>
                </c:pt>
                <c:pt idx="49">
                  <c:v>3.5500375162698114E-4</c:v>
                </c:pt>
                <c:pt idx="50">
                  <c:v>-3.6125870913406328E-6</c:v>
                </c:pt>
                <c:pt idx="51">
                  <c:v>8.3061251052752476E-4</c:v>
                </c:pt>
                <c:pt idx="52">
                  <c:v>5.2793568639460998E-4</c:v>
                </c:pt>
                <c:pt idx="53">
                  <c:v>-5.9407671694357246E-4</c:v>
                </c:pt>
                <c:pt idx="54">
                  <c:v>-2.0731582574075495E-4</c:v>
                </c:pt>
                <c:pt idx="55">
                  <c:v>-7.9848786463517353E-4</c:v>
                </c:pt>
                <c:pt idx="56">
                  <c:v>-1.3031502947706915E-3</c:v>
                </c:pt>
                <c:pt idx="57">
                  <c:v>-3.7658464129852233E-4</c:v>
                </c:pt>
                <c:pt idx="58">
                  <c:v>-1.2672054207181686E-3</c:v>
                </c:pt>
                <c:pt idx="59">
                  <c:v>-8.2845387030089585E-4</c:v>
                </c:pt>
                <c:pt idx="60">
                  <c:v>-8.6021514432279309E-4</c:v>
                </c:pt>
                <c:pt idx="61">
                  <c:v>-1.1403330525993417E-3</c:v>
                </c:pt>
                <c:pt idx="62">
                  <c:v>-1.7661035142791518E-3</c:v>
                </c:pt>
                <c:pt idx="63">
                  <c:v>-8.7190414210244239E-5</c:v>
                </c:pt>
                <c:pt idx="64">
                  <c:v>1.8229645509532197E-4</c:v>
                </c:pt>
                <c:pt idx="65">
                  <c:v>-1.254493836612817E-3</c:v>
                </c:pt>
                <c:pt idx="66">
                  <c:v>-1.3850481586402267E-3</c:v>
                </c:pt>
                <c:pt idx="67">
                  <c:v>-1.3554276089120282E-3</c:v>
                </c:pt>
                <c:pt idx="68">
                  <c:v>-1.904304264604548E-3</c:v>
                </c:pt>
                <c:pt idx="69">
                  <c:v>-1.2442486792741752E-3</c:v>
                </c:pt>
                <c:pt idx="70">
                  <c:v>-1.278418957200827E-3</c:v>
                </c:pt>
                <c:pt idx="71">
                  <c:v>-1.5017778118061405E-3</c:v>
                </c:pt>
                <c:pt idx="72">
                  <c:v>-1.4675276012556466E-3</c:v>
                </c:pt>
                <c:pt idx="73">
                  <c:v>-1.3390143174335811E-3</c:v>
                </c:pt>
                <c:pt idx="74">
                  <c:v>-6.6811775514891668E-4</c:v>
                </c:pt>
                <c:pt idx="75">
                  <c:v>-1.0459932623841973E-3</c:v>
                </c:pt>
                <c:pt idx="76">
                  <c:v>-2.3121590996095249E-3</c:v>
                </c:pt>
                <c:pt idx="77">
                  <c:v>4.3366020978485571E-4</c:v>
                </c:pt>
                <c:pt idx="78">
                  <c:v>-1.2968025419186893E-3</c:v>
                </c:pt>
                <c:pt idx="79">
                  <c:v>-1.2914020365975042E-3</c:v>
                </c:pt>
                <c:pt idx="80">
                  <c:v>-6.3103636781257182E-4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SensSkin!$D$26:$D$106</c:f>
              <c:numCache>
                <c:formatCode>0.0</c:formatCode>
                <c:ptCount val="81"/>
                <c:pt idx="0">
                  <c:v>31</c:v>
                </c:pt>
                <c:pt idx="1">
                  <c:v>59</c:v>
                </c:pt>
                <c:pt idx="2">
                  <c:v>90</c:v>
                </c:pt>
                <c:pt idx="3">
                  <c:v>120</c:v>
                </c:pt>
                <c:pt idx="4">
                  <c:v>151</c:v>
                </c:pt>
                <c:pt idx="5">
                  <c:v>181</c:v>
                </c:pt>
                <c:pt idx="6">
                  <c:v>212</c:v>
                </c:pt>
                <c:pt idx="7">
                  <c:v>243</c:v>
                </c:pt>
                <c:pt idx="8">
                  <c:v>273</c:v>
                </c:pt>
                <c:pt idx="9">
                  <c:v>304</c:v>
                </c:pt>
                <c:pt idx="10">
                  <c:v>334</c:v>
                </c:pt>
                <c:pt idx="11">
                  <c:v>365</c:v>
                </c:pt>
                <c:pt idx="12">
                  <c:v>396</c:v>
                </c:pt>
                <c:pt idx="13">
                  <c:v>424</c:v>
                </c:pt>
                <c:pt idx="14">
                  <c:v>455</c:v>
                </c:pt>
                <c:pt idx="15">
                  <c:v>485</c:v>
                </c:pt>
                <c:pt idx="16">
                  <c:v>516</c:v>
                </c:pt>
                <c:pt idx="17">
                  <c:v>546</c:v>
                </c:pt>
                <c:pt idx="18">
                  <c:v>577</c:v>
                </c:pt>
                <c:pt idx="19">
                  <c:v>608</c:v>
                </c:pt>
                <c:pt idx="20">
                  <c:v>638</c:v>
                </c:pt>
                <c:pt idx="21">
                  <c:v>669</c:v>
                </c:pt>
                <c:pt idx="22">
                  <c:v>699</c:v>
                </c:pt>
                <c:pt idx="23">
                  <c:v>730</c:v>
                </c:pt>
                <c:pt idx="24">
                  <c:v>761</c:v>
                </c:pt>
                <c:pt idx="25">
                  <c:v>789</c:v>
                </c:pt>
                <c:pt idx="26">
                  <c:v>820</c:v>
                </c:pt>
                <c:pt idx="27">
                  <c:v>850</c:v>
                </c:pt>
                <c:pt idx="28">
                  <c:v>881</c:v>
                </c:pt>
                <c:pt idx="29">
                  <c:v>911</c:v>
                </c:pt>
                <c:pt idx="30">
                  <c:v>942</c:v>
                </c:pt>
                <c:pt idx="31">
                  <c:v>973</c:v>
                </c:pt>
                <c:pt idx="32">
                  <c:v>1003</c:v>
                </c:pt>
                <c:pt idx="33">
                  <c:v>1034</c:v>
                </c:pt>
                <c:pt idx="34">
                  <c:v>1064</c:v>
                </c:pt>
                <c:pt idx="35">
                  <c:v>1095</c:v>
                </c:pt>
                <c:pt idx="36">
                  <c:v>1126</c:v>
                </c:pt>
                <c:pt idx="37">
                  <c:v>1155</c:v>
                </c:pt>
                <c:pt idx="38">
                  <c:v>1186</c:v>
                </c:pt>
                <c:pt idx="39">
                  <c:v>1216</c:v>
                </c:pt>
                <c:pt idx="40">
                  <c:v>1247</c:v>
                </c:pt>
                <c:pt idx="41">
                  <c:v>1277</c:v>
                </c:pt>
                <c:pt idx="42">
                  <c:v>1308</c:v>
                </c:pt>
                <c:pt idx="43">
                  <c:v>1339</c:v>
                </c:pt>
                <c:pt idx="44">
                  <c:v>1369</c:v>
                </c:pt>
                <c:pt idx="45">
                  <c:v>1400</c:v>
                </c:pt>
                <c:pt idx="46">
                  <c:v>1430</c:v>
                </c:pt>
                <c:pt idx="47">
                  <c:v>1461</c:v>
                </c:pt>
                <c:pt idx="48">
                  <c:v>1492</c:v>
                </c:pt>
                <c:pt idx="49">
                  <c:v>1520</c:v>
                </c:pt>
                <c:pt idx="50">
                  <c:v>1551</c:v>
                </c:pt>
                <c:pt idx="51">
                  <c:v>1581</c:v>
                </c:pt>
                <c:pt idx="52">
                  <c:v>1612</c:v>
                </c:pt>
                <c:pt idx="53">
                  <c:v>1642</c:v>
                </c:pt>
                <c:pt idx="54">
                  <c:v>1673</c:v>
                </c:pt>
                <c:pt idx="55">
                  <c:v>1704</c:v>
                </c:pt>
                <c:pt idx="56">
                  <c:v>1734</c:v>
                </c:pt>
                <c:pt idx="57">
                  <c:v>1765</c:v>
                </c:pt>
                <c:pt idx="58">
                  <c:v>1795</c:v>
                </c:pt>
                <c:pt idx="59">
                  <c:v>1826</c:v>
                </c:pt>
                <c:pt idx="60">
                  <c:v>1857</c:v>
                </c:pt>
                <c:pt idx="61">
                  <c:v>1885</c:v>
                </c:pt>
                <c:pt idx="62">
                  <c:v>1916</c:v>
                </c:pt>
                <c:pt idx="63">
                  <c:v>1946</c:v>
                </c:pt>
                <c:pt idx="64">
                  <c:v>1977</c:v>
                </c:pt>
                <c:pt idx="65">
                  <c:v>2007</c:v>
                </c:pt>
                <c:pt idx="66">
                  <c:v>2038</c:v>
                </c:pt>
                <c:pt idx="67">
                  <c:v>2069</c:v>
                </c:pt>
                <c:pt idx="68">
                  <c:v>2099</c:v>
                </c:pt>
                <c:pt idx="69">
                  <c:v>2130</c:v>
                </c:pt>
                <c:pt idx="70">
                  <c:v>2160</c:v>
                </c:pt>
                <c:pt idx="71">
                  <c:v>2191</c:v>
                </c:pt>
                <c:pt idx="72">
                  <c:v>2222</c:v>
                </c:pt>
                <c:pt idx="73">
                  <c:v>2250</c:v>
                </c:pt>
                <c:pt idx="74">
                  <c:v>2281</c:v>
                </c:pt>
                <c:pt idx="75">
                  <c:v>2311</c:v>
                </c:pt>
                <c:pt idx="76">
                  <c:v>2342</c:v>
                </c:pt>
                <c:pt idx="77">
                  <c:v>2372</c:v>
                </c:pt>
                <c:pt idx="78">
                  <c:v>2403</c:v>
                </c:pt>
                <c:pt idx="79">
                  <c:v>2434</c:v>
                </c:pt>
                <c:pt idx="80">
                  <c:v>2464</c:v>
                </c:pt>
              </c:numCache>
            </c:numRef>
          </c:xVal>
          <c:yVal>
            <c:numRef>
              <c:f>SensSkin!$F$26:$F$106</c:f>
              <c:numCache>
                <c:formatCode>0.0</c:formatCode>
                <c:ptCount val="81"/>
                <c:pt idx="0">
                  <c:v>77.10968501615497</c:v>
                </c:pt>
                <c:pt idx="1">
                  <c:v>64.365144467192408</c:v>
                </c:pt>
                <c:pt idx="2">
                  <c:v>52.996784346527832</c:v>
                </c:pt>
                <c:pt idx="3">
                  <c:v>43.921184901002988</c:v>
                </c:pt>
                <c:pt idx="4">
                  <c:v>36.172915169129467</c:v>
                </c:pt>
                <c:pt idx="5">
                  <c:v>29.978878208866089</c:v>
                </c:pt>
                <c:pt idx="6">
                  <c:v>24.690289005129777</c:v>
                </c:pt>
                <c:pt idx="7">
                  <c:v>20.33496195926805</c:v>
                </c:pt>
                <c:pt idx="8">
                  <c:v>16.852832488936528</c:v>
                </c:pt>
                <c:pt idx="9">
                  <c:v>13.880000633642142</c:v>
                </c:pt>
                <c:pt idx="10">
                  <c:v>11.503219329913483</c:v>
                </c:pt>
                <c:pt idx="11">
                  <c:v>9.4741388576678673</c:v>
                </c:pt>
                <c:pt idx="12">
                  <c:v>7.8027059058265067</c:v>
                </c:pt>
                <c:pt idx="13">
                  <c:v>6.5485151080315447</c:v>
                </c:pt>
                <c:pt idx="14">
                  <c:v>5.3928667350126336</c:v>
                </c:pt>
                <c:pt idx="15">
                  <c:v>4.4692851023658218</c:v>
                </c:pt>
                <c:pt idx="16">
                  <c:v>3.6814721909501578</c:v>
                </c:pt>
                <c:pt idx="17">
                  <c:v>3.0502936813413983</c:v>
                </c:pt>
                <c:pt idx="18">
                  <c:v>2.5118321427149533</c:v>
                </c:pt>
                <c:pt idx="19">
                  <c:v>2.069289527601256</c:v>
                </c:pt>
                <c:pt idx="20">
                  <c:v>1.7144324532577904</c:v>
                </c:pt>
                <c:pt idx="21">
                  <c:v>1.4112315292856599</c:v>
                </c:pt>
                <c:pt idx="22">
                  <c:v>1.1695946074573158</c:v>
                </c:pt>
                <c:pt idx="23">
                  <c:v>0.96383516867008667</c:v>
                </c:pt>
                <c:pt idx="24">
                  <c:v>0.7926203621468495</c:v>
                </c:pt>
                <c:pt idx="25">
                  <c:v>0.66446004241635415</c:v>
                </c:pt>
                <c:pt idx="26">
                  <c:v>0.54769560983079402</c:v>
                </c:pt>
                <c:pt idx="27">
                  <c:v>0.45389018574381751</c:v>
                </c:pt>
                <c:pt idx="28">
                  <c:v>0.3732363431590231</c:v>
                </c:pt>
                <c:pt idx="29">
                  <c:v>0.3087180367506317</c:v>
                </c:pt>
                <c:pt idx="30">
                  <c:v>0.25498962024347294</c:v>
                </c:pt>
                <c:pt idx="31">
                  <c:v>0.21035809356098309</c:v>
                </c:pt>
                <c:pt idx="32">
                  <c:v>0.17466186233825895</c:v>
                </c:pt>
                <c:pt idx="33">
                  <c:v>0.14271586586019447</c:v>
                </c:pt>
                <c:pt idx="34">
                  <c:v>0.11931644100757983</c:v>
                </c:pt>
                <c:pt idx="35">
                  <c:v>9.8584045325779038E-2</c:v>
                </c:pt>
                <c:pt idx="36">
                  <c:v>8.1695997703085527E-2</c:v>
                </c:pt>
                <c:pt idx="37">
                  <c:v>6.754042018222188E-2</c:v>
                </c:pt>
                <c:pt idx="38">
                  <c:v>5.5347791746420641E-2</c:v>
                </c:pt>
                <c:pt idx="39">
                  <c:v>4.660776617410612E-2</c:v>
                </c:pt>
                <c:pt idx="40">
                  <c:v>3.9287120741137743E-2</c:v>
                </c:pt>
                <c:pt idx="41">
                  <c:v>3.3238567644131384E-2</c:v>
                </c:pt>
                <c:pt idx="42">
                  <c:v>2.6746938825511064E-2</c:v>
                </c:pt>
                <c:pt idx="43">
                  <c:v>2.3278287879947939E-2</c:v>
                </c:pt>
                <c:pt idx="44">
                  <c:v>1.8963697113544141E-2</c:v>
                </c:pt>
                <c:pt idx="45">
                  <c:v>1.5824630426460456E-2</c:v>
                </c:pt>
                <c:pt idx="46">
                  <c:v>1.4299590383584719E-2</c:v>
                </c:pt>
                <c:pt idx="47">
                  <c:v>1.0917097618865324E-2</c:v>
                </c:pt>
                <c:pt idx="48">
                  <c:v>1.0991325166526299E-2</c:v>
                </c:pt>
                <c:pt idx="49">
                  <c:v>8.3688928872214987E-3</c:v>
                </c:pt>
                <c:pt idx="50">
                  <c:v>7.0300917234514971E-3</c:v>
                </c:pt>
                <c:pt idx="51">
                  <c:v>6.9166360921828346E-3</c:v>
                </c:pt>
                <c:pt idx="52">
                  <c:v>5.9137922058035376E-3</c:v>
                </c:pt>
                <c:pt idx="53">
                  <c:v>4.5165607533879494E-3</c:v>
                </c:pt>
                <c:pt idx="54">
                  <c:v>4.2743171273256263E-3</c:v>
                </c:pt>
                <c:pt idx="55">
                  <c:v>3.391881632340556E-3</c:v>
                </c:pt>
                <c:pt idx="56">
                  <c:v>2.6409150907281223E-3</c:v>
                </c:pt>
                <c:pt idx="57">
                  <c:v>3.0409594977413674E-3</c:v>
                </c:pt>
                <c:pt idx="58">
                  <c:v>2.1094168899777966E-3</c:v>
                </c:pt>
                <c:pt idx="59">
                  <c:v>2.1685964321261774E-3</c:v>
                </c:pt>
                <c:pt idx="60">
                  <c:v>1.9192966847867701E-3</c:v>
                </c:pt>
                <c:pt idx="61">
                  <c:v>1.5034513436949699E-3</c:v>
                </c:pt>
                <c:pt idx="62">
                  <c:v>8.3813628359237426E-4</c:v>
                </c:pt>
                <c:pt idx="63">
                  <c:v>2.0210431054283745E-3</c:v>
                </c:pt>
                <c:pt idx="64">
                  <c:v>2.0710395834928415E-3</c:v>
                </c:pt>
                <c:pt idx="65">
                  <c:v>8.0666166449735858E-4</c:v>
                </c:pt>
                <c:pt idx="66">
                  <c:v>5.2560707449659291E-4</c:v>
                </c:pt>
                <c:pt idx="67">
                  <c:v>4.0913972896409155E-4</c:v>
                </c:pt>
                <c:pt idx="68">
                  <c:v>-1.6273455325013398E-4</c:v>
                </c:pt>
                <c:pt idx="69">
                  <c:v>2.7887344001225023E-4</c:v>
                </c:pt>
                <c:pt idx="70">
                  <c:v>7.8580659980093413E-5</c:v>
                </c:pt>
                <c:pt idx="71">
                  <c:v>-2.044947553786081E-4</c:v>
                </c:pt>
                <c:pt idx="72">
                  <c:v>-3.1934277620396603E-4</c:v>
                </c:pt>
                <c:pt idx="73">
                  <c:v>-3.3092611591761735E-4</c:v>
                </c:pt>
                <c:pt idx="74">
                  <c:v>1.6297664803613813E-4</c:v>
                </c:pt>
                <c:pt idx="75">
                  <c:v>-2.6281800780950923E-4</c:v>
                </c:pt>
                <c:pt idx="76">
                  <c:v>-1.3981460837608148E-3</c:v>
                </c:pt>
                <c:pt idx="77">
                  <c:v>7.4526789679197616E-4</c:v>
                </c:pt>
                <c:pt idx="78">
                  <c:v>-7.5521629278003217E-4</c:v>
                </c:pt>
                <c:pt idx="79">
                  <c:v>-8.1919225174182687E-4</c:v>
                </c:pt>
                <c:pt idx="80">
                  <c:v>-3.6183431590230459E-4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xVal>
            <c:numRef>
              <c:f>SensSkin!$D$26:$D$106</c:f>
              <c:numCache>
                <c:formatCode>0.0</c:formatCode>
                <c:ptCount val="81"/>
                <c:pt idx="0">
                  <c:v>31</c:v>
                </c:pt>
                <c:pt idx="1">
                  <c:v>59</c:v>
                </c:pt>
                <c:pt idx="2">
                  <c:v>90</c:v>
                </c:pt>
                <c:pt idx="3">
                  <c:v>120</c:v>
                </c:pt>
                <c:pt idx="4">
                  <c:v>151</c:v>
                </c:pt>
                <c:pt idx="5">
                  <c:v>181</c:v>
                </c:pt>
                <c:pt idx="6">
                  <c:v>212</c:v>
                </c:pt>
                <c:pt idx="7">
                  <c:v>243</c:v>
                </c:pt>
                <c:pt idx="8">
                  <c:v>273</c:v>
                </c:pt>
                <c:pt idx="9">
                  <c:v>304</c:v>
                </c:pt>
                <c:pt idx="10">
                  <c:v>334</c:v>
                </c:pt>
                <c:pt idx="11">
                  <c:v>365</c:v>
                </c:pt>
                <c:pt idx="12">
                  <c:v>396</c:v>
                </c:pt>
                <c:pt idx="13">
                  <c:v>424</c:v>
                </c:pt>
                <c:pt idx="14">
                  <c:v>455</c:v>
                </c:pt>
                <c:pt idx="15">
                  <c:v>485</c:v>
                </c:pt>
                <c:pt idx="16">
                  <c:v>516</c:v>
                </c:pt>
                <c:pt idx="17">
                  <c:v>546</c:v>
                </c:pt>
                <c:pt idx="18">
                  <c:v>577</c:v>
                </c:pt>
                <c:pt idx="19">
                  <c:v>608</c:v>
                </c:pt>
                <c:pt idx="20">
                  <c:v>638</c:v>
                </c:pt>
                <c:pt idx="21">
                  <c:v>669</c:v>
                </c:pt>
                <c:pt idx="22">
                  <c:v>699</c:v>
                </c:pt>
                <c:pt idx="23">
                  <c:v>730</c:v>
                </c:pt>
                <c:pt idx="24">
                  <c:v>761</c:v>
                </c:pt>
                <c:pt idx="25">
                  <c:v>789</c:v>
                </c:pt>
                <c:pt idx="26">
                  <c:v>820</c:v>
                </c:pt>
                <c:pt idx="27">
                  <c:v>850</c:v>
                </c:pt>
                <c:pt idx="28">
                  <c:v>881</c:v>
                </c:pt>
                <c:pt idx="29">
                  <c:v>911</c:v>
                </c:pt>
                <c:pt idx="30">
                  <c:v>942</c:v>
                </c:pt>
                <c:pt idx="31">
                  <c:v>973</c:v>
                </c:pt>
                <c:pt idx="32">
                  <c:v>1003</c:v>
                </c:pt>
                <c:pt idx="33">
                  <c:v>1034</c:v>
                </c:pt>
                <c:pt idx="34">
                  <c:v>1064</c:v>
                </c:pt>
                <c:pt idx="35">
                  <c:v>1095</c:v>
                </c:pt>
                <c:pt idx="36">
                  <c:v>1126</c:v>
                </c:pt>
                <c:pt idx="37">
                  <c:v>1155</c:v>
                </c:pt>
                <c:pt idx="38">
                  <c:v>1186</c:v>
                </c:pt>
                <c:pt idx="39">
                  <c:v>1216</c:v>
                </c:pt>
                <c:pt idx="40">
                  <c:v>1247</c:v>
                </c:pt>
                <c:pt idx="41">
                  <c:v>1277</c:v>
                </c:pt>
                <c:pt idx="42">
                  <c:v>1308</c:v>
                </c:pt>
                <c:pt idx="43">
                  <c:v>1339</c:v>
                </c:pt>
                <c:pt idx="44">
                  <c:v>1369</c:v>
                </c:pt>
                <c:pt idx="45">
                  <c:v>1400</c:v>
                </c:pt>
                <c:pt idx="46">
                  <c:v>1430</c:v>
                </c:pt>
                <c:pt idx="47">
                  <c:v>1461</c:v>
                </c:pt>
                <c:pt idx="48">
                  <c:v>1492</c:v>
                </c:pt>
                <c:pt idx="49">
                  <c:v>1520</c:v>
                </c:pt>
                <c:pt idx="50">
                  <c:v>1551</c:v>
                </c:pt>
                <c:pt idx="51">
                  <c:v>1581</c:v>
                </c:pt>
                <c:pt idx="52">
                  <c:v>1612</c:v>
                </c:pt>
                <c:pt idx="53">
                  <c:v>1642</c:v>
                </c:pt>
                <c:pt idx="54">
                  <c:v>1673</c:v>
                </c:pt>
                <c:pt idx="55">
                  <c:v>1704</c:v>
                </c:pt>
                <c:pt idx="56">
                  <c:v>1734</c:v>
                </c:pt>
                <c:pt idx="57">
                  <c:v>1765</c:v>
                </c:pt>
                <c:pt idx="58">
                  <c:v>1795</c:v>
                </c:pt>
                <c:pt idx="59">
                  <c:v>1826</c:v>
                </c:pt>
                <c:pt idx="60">
                  <c:v>1857</c:v>
                </c:pt>
                <c:pt idx="61">
                  <c:v>1885</c:v>
                </c:pt>
                <c:pt idx="62">
                  <c:v>1916</c:v>
                </c:pt>
                <c:pt idx="63">
                  <c:v>1946</c:v>
                </c:pt>
                <c:pt idx="64">
                  <c:v>1977</c:v>
                </c:pt>
                <c:pt idx="65">
                  <c:v>2007</c:v>
                </c:pt>
                <c:pt idx="66">
                  <c:v>2038</c:v>
                </c:pt>
                <c:pt idx="67">
                  <c:v>2069</c:v>
                </c:pt>
                <c:pt idx="68">
                  <c:v>2099</c:v>
                </c:pt>
                <c:pt idx="69">
                  <c:v>2130</c:v>
                </c:pt>
                <c:pt idx="70">
                  <c:v>2160</c:v>
                </c:pt>
                <c:pt idx="71">
                  <c:v>2191</c:v>
                </c:pt>
                <c:pt idx="72">
                  <c:v>2222</c:v>
                </c:pt>
                <c:pt idx="73">
                  <c:v>2250</c:v>
                </c:pt>
                <c:pt idx="74">
                  <c:v>2281</c:v>
                </c:pt>
                <c:pt idx="75">
                  <c:v>2311</c:v>
                </c:pt>
                <c:pt idx="76">
                  <c:v>2342</c:v>
                </c:pt>
                <c:pt idx="77">
                  <c:v>2372</c:v>
                </c:pt>
                <c:pt idx="78">
                  <c:v>2403</c:v>
                </c:pt>
                <c:pt idx="79">
                  <c:v>2434</c:v>
                </c:pt>
                <c:pt idx="80">
                  <c:v>2464</c:v>
                </c:pt>
              </c:numCache>
            </c:numRef>
          </c:xVal>
          <c:yVal>
            <c:numRef>
              <c:f>SensSkin!$G$26:$G$106</c:f>
              <c:numCache>
                <c:formatCode>0.0</c:formatCode>
                <c:ptCount val="81"/>
                <c:pt idx="0">
                  <c:v>64.580600555087671</c:v>
                </c:pt>
                <c:pt idx="1">
                  <c:v>55.84850308720619</c:v>
                </c:pt>
                <c:pt idx="2">
                  <c:v>47.775702361534343</c:v>
                </c:pt>
                <c:pt idx="3">
                  <c:v>41.084715216599037</c:v>
                </c:pt>
                <c:pt idx="4">
                  <c:v>35.154095346298142</c:v>
                </c:pt>
                <c:pt idx="5">
                  <c:v>30.231336063394846</c:v>
                </c:pt>
                <c:pt idx="6">
                  <c:v>25.867446115305107</c:v>
                </c:pt>
                <c:pt idx="7">
                  <c:v>22.133401515963559</c:v>
                </c:pt>
                <c:pt idx="8">
                  <c:v>19.034050078401346</c:v>
                </c:pt>
                <c:pt idx="9">
                  <c:v>16.286415776127406</c:v>
                </c:pt>
                <c:pt idx="10">
                  <c:v>14.0057854485874</c:v>
                </c:pt>
                <c:pt idx="11">
                  <c:v>11.984231226858588</c:v>
                </c:pt>
                <c:pt idx="12">
                  <c:v>10.254108125870914</c:v>
                </c:pt>
                <c:pt idx="13">
                  <c:v>8.907603811040504</c:v>
                </c:pt>
                <c:pt idx="14">
                  <c:v>7.62164610351428</c:v>
                </c:pt>
                <c:pt idx="15">
                  <c:v>6.5541350775591463</c:v>
                </c:pt>
                <c:pt idx="16">
                  <c:v>5.6086771440165375</c:v>
                </c:pt>
                <c:pt idx="17">
                  <c:v>4.8227258569787921</c:v>
                </c:pt>
                <c:pt idx="18">
                  <c:v>4.1264586762116231</c:v>
                </c:pt>
                <c:pt idx="19">
                  <c:v>3.5314572201209713</c:v>
                </c:pt>
                <c:pt idx="20">
                  <c:v>3.03663081540464</c:v>
                </c:pt>
                <c:pt idx="21">
                  <c:v>2.5978737560676826</c:v>
                </c:pt>
                <c:pt idx="22">
                  <c:v>2.2341483978255878</c:v>
                </c:pt>
                <c:pt idx="23">
                  <c:v>1.9122389019217521</c:v>
                </c:pt>
                <c:pt idx="24">
                  <c:v>1.6352550576525535</c:v>
                </c:pt>
                <c:pt idx="25">
                  <c:v>1.4199767339407396</c:v>
                </c:pt>
                <c:pt idx="26">
                  <c:v>1.2153774078554476</c:v>
                </c:pt>
                <c:pt idx="27">
                  <c:v>1.0449955098384502</c:v>
                </c:pt>
                <c:pt idx="28">
                  <c:v>0.89370430212081775</c:v>
                </c:pt>
                <c:pt idx="29">
                  <c:v>0.76795176617410621</c:v>
                </c:pt>
                <c:pt idx="30">
                  <c:v>0.65748761059643213</c:v>
                </c:pt>
                <c:pt idx="31">
                  <c:v>0.56268826337952693</c:v>
                </c:pt>
                <c:pt idx="32">
                  <c:v>0.48396946696271348</c:v>
                </c:pt>
                <c:pt idx="33">
                  <c:v>0.41291486226169516</c:v>
                </c:pt>
                <c:pt idx="34">
                  <c:v>0.35572376540846795</c:v>
                </c:pt>
                <c:pt idx="35">
                  <c:v>0.30437217624990431</c:v>
                </c:pt>
                <c:pt idx="36">
                  <c:v>0.26057096072276242</c:v>
                </c:pt>
                <c:pt idx="37">
                  <c:v>0.22452991761733404</c:v>
                </c:pt>
                <c:pt idx="38">
                  <c:v>0.19166177107419036</c:v>
                </c:pt>
                <c:pt idx="39">
                  <c:v>0.16521317295766022</c:v>
                </c:pt>
                <c:pt idx="40">
                  <c:v>0.1419071397289641</c:v>
                </c:pt>
                <c:pt idx="41">
                  <c:v>0.12238969650103362</c:v>
                </c:pt>
                <c:pt idx="42">
                  <c:v>0.10397159558992421</c:v>
                </c:pt>
                <c:pt idx="43">
                  <c:v>8.9813932470714342E-2</c:v>
                </c:pt>
                <c:pt idx="44">
                  <c:v>7.6858038894418501E-2</c:v>
                </c:pt>
                <c:pt idx="45">
                  <c:v>6.5800161090268747E-2</c:v>
                </c:pt>
                <c:pt idx="46">
                  <c:v>5.7439694204119131E-2</c:v>
                </c:pt>
                <c:pt idx="47">
                  <c:v>4.8357572620779429E-2</c:v>
                </c:pt>
                <c:pt idx="48">
                  <c:v>4.2943645509532197E-2</c:v>
                </c:pt>
                <c:pt idx="49">
                  <c:v>3.6589721767092874E-2</c:v>
                </c:pt>
                <c:pt idx="50">
                  <c:v>3.144003031927111E-2</c:v>
                </c:pt>
                <c:pt idx="51">
                  <c:v>2.7863850241176023E-2</c:v>
                </c:pt>
                <c:pt idx="52">
                  <c:v>2.4035113850394307E-2</c:v>
                </c:pt>
                <c:pt idx="53">
                  <c:v>2.0393554398591227E-2</c:v>
                </c:pt>
                <c:pt idx="54">
                  <c:v>1.8013720848327083E-2</c:v>
                </c:pt>
                <c:pt idx="55">
                  <c:v>1.5341978868386801E-2</c:v>
                </c:pt>
                <c:pt idx="56">
                  <c:v>1.3161528979404334E-2</c:v>
                </c:pt>
                <c:pt idx="57">
                  <c:v>1.2089323788377612E-2</c:v>
                </c:pt>
                <c:pt idx="58">
                  <c:v>1.0153375851772452E-2</c:v>
                </c:pt>
                <c:pt idx="59">
                  <c:v>9.1907242936987987E-3</c:v>
                </c:pt>
                <c:pt idx="60">
                  <c:v>8.105558992420183E-3</c:v>
                </c:pt>
                <c:pt idx="61">
                  <c:v>7.0961326085292103E-3</c:v>
                </c:pt>
                <c:pt idx="62">
                  <c:v>5.8967178623382591E-3</c:v>
                </c:pt>
                <c:pt idx="63">
                  <c:v>6.3378141030548969E-3</c:v>
                </c:pt>
                <c:pt idx="64">
                  <c:v>5.9209333129163159E-3</c:v>
                </c:pt>
                <c:pt idx="65">
                  <c:v>4.4409150907281222E-3</c:v>
                </c:pt>
                <c:pt idx="66">
                  <c:v>3.8546267513972898E-3</c:v>
                </c:pt>
                <c:pt idx="67">
                  <c:v>3.4538845417655616E-3</c:v>
                </c:pt>
                <c:pt idx="68">
                  <c:v>2.7452717249827731E-3</c:v>
                </c:pt>
                <c:pt idx="69">
                  <c:v>2.9071821453181229E-3</c:v>
                </c:pt>
                <c:pt idx="70">
                  <c:v>2.5254326621238807E-3</c:v>
                </c:pt>
                <c:pt idx="71">
                  <c:v>2.1075563892504405E-3</c:v>
                </c:pt>
                <c:pt idx="72">
                  <c:v>1.874195850241176E-3</c:v>
                </c:pt>
                <c:pt idx="73">
                  <c:v>1.7254237807212312E-3</c:v>
                </c:pt>
                <c:pt idx="74">
                  <c:v>2.0104639767246002E-3</c:v>
                </c:pt>
                <c:pt idx="75">
                  <c:v>1.5654469029936452E-3</c:v>
                </c:pt>
                <c:pt idx="76">
                  <c:v>4.8203644437638777E-4</c:v>
                </c:pt>
                <c:pt idx="77">
                  <c:v>2.2003687313375698E-3</c:v>
                </c:pt>
                <c:pt idx="78">
                  <c:v>8.545008804838834E-4</c:v>
                </c:pt>
                <c:pt idx="79">
                  <c:v>6.7665492688155583E-4</c:v>
                </c:pt>
                <c:pt idx="80">
                  <c:v>1.0511475384733175E-3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SensSkin!$D$26:$D$106</c:f>
              <c:numCache>
                <c:formatCode>0.0</c:formatCode>
                <c:ptCount val="81"/>
                <c:pt idx="0">
                  <c:v>31</c:v>
                </c:pt>
                <c:pt idx="1">
                  <c:v>59</c:v>
                </c:pt>
                <c:pt idx="2">
                  <c:v>90</c:v>
                </c:pt>
                <c:pt idx="3">
                  <c:v>120</c:v>
                </c:pt>
                <c:pt idx="4">
                  <c:v>151</c:v>
                </c:pt>
                <c:pt idx="5">
                  <c:v>181</c:v>
                </c:pt>
                <c:pt idx="6">
                  <c:v>212</c:v>
                </c:pt>
                <c:pt idx="7">
                  <c:v>243</c:v>
                </c:pt>
                <c:pt idx="8">
                  <c:v>273</c:v>
                </c:pt>
                <c:pt idx="9">
                  <c:v>304</c:v>
                </c:pt>
                <c:pt idx="10">
                  <c:v>334</c:v>
                </c:pt>
                <c:pt idx="11">
                  <c:v>365</c:v>
                </c:pt>
                <c:pt idx="12">
                  <c:v>396</c:v>
                </c:pt>
                <c:pt idx="13">
                  <c:v>424</c:v>
                </c:pt>
                <c:pt idx="14">
                  <c:v>455</c:v>
                </c:pt>
                <c:pt idx="15">
                  <c:v>485</c:v>
                </c:pt>
                <c:pt idx="16">
                  <c:v>516</c:v>
                </c:pt>
                <c:pt idx="17">
                  <c:v>546</c:v>
                </c:pt>
                <c:pt idx="18">
                  <c:v>577</c:v>
                </c:pt>
                <c:pt idx="19">
                  <c:v>608</c:v>
                </c:pt>
                <c:pt idx="20">
                  <c:v>638</c:v>
                </c:pt>
                <c:pt idx="21">
                  <c:v>669</c:v>
                </c:pt>
                <c:pt idx="22">
                  <c:v>699</c:v>
                </c:pt>
                <c:pt idx="23">
                  <c:v>730</c:v>
                </c:pt>
                <c:pt idx="24">
                  <c:v>761</c:v>
                </c:pt>
                <c:pt idx="25">
                  <c:v>789</c:v>
                </c:pt>
                <c:pt idx="26">
                  <c:v>820</c:v>
                </c:pt>
                <c:pt idx="27">
                  <c:v>850</c:v>
                </c:pt>
                <c:pt idx="28">
                  <c:v>881</c:v>
                </c:pt>
                <c:pt idx="29">
                  <c:v>911</c:v>
                </c:pt>
                <c:pt idx="30">
                  <c:v>942</c:v>
                </c:pt>
                <c:pt idx="31">
                  <c:v>973</c:v>
                </c:pt>
                <c:pt idx="32">
                  <c:v>1003</c:v>
                </c:pt>
                <c:pt idx="33">
                  <c:v>1034</c:v>
                </c:pt>
                <c:pt idx="34">
                  <c:v>1064</c:v>
                </c:pt>
                <c:pt idx="35">
                  <c:v>1095</c:v>
                </c:pt>
                <c:pt idx="36">
                  <c:v>1126</c:v>
                </c:pt>
                <c:pt idx="37">
                  <c:v>1155</c:v>
                </c:pt>
                <c:pt idx="38">
                  <c:v>1186</c:v>
                </c:pt>
                <c:pt idx="39">
                  <c:v>1216</c:v>
                </c:pt>
                <c:pt idx="40">
                  <c:v>1247</c:v>
                </c:pt>
                <c:pt idx="41">
                  <c:v>1277</c:v>
                </c:pt>
                <c:pt idx="42">
                  <c:v>1308</c:v>
                </c:pt>
                <c:pt idx="43">
                  <c:v>1339</c:v>
                </c:pt>
                <c:pt idx="44">
                  <c:v>1369</c:v>
                </c:pt>
                <c:pt idx="45">
                  <c:v>1400</c:v>
                </c:pt>
                <c:pt idx="46">
                  <c:v>1430</c:v>
                </c:pt>
                <c:pt idx="47">
                  <c:v>1461</c:v>
                </c:pt>
                <c:pt idx="48">
                  <c:v>1492</c:v>
                </c:pt>
                <c:pt idx="49">
                  <c:v>1520</c:v>
                </c:pt>
                <c:pt idx="50">
                  <c:v>1551</c:v>
                </c:pt>
                <c:pt idx="51">
                  <c:v>1581</c:v>
                </c:pt>
                <c:pt idx="52">
                  <c:v>1612</c:v>
                </c:pt>
                <c:pt idx="53">
                  <c:v>1642</c:v>
                </c:pt>
                <c:pt idx="54">
                  <c:v>1673</c:v>
                </c:pt>
                <c:pt idx="55">
                  <c:v>1704</c:v>
                </c:pt>
                <c:pt idx="56">
                  <c:v>1734</c:v>
                </c:pt>
                <c:pt idx="57">
                  <c:v>1765</c:v>
                </c:pt>
                <c:pt idx="58">
                  <c:v>1795</c:v>
                </c:pt>
                <c:pt idx="59">
                  <c:v>1826</c:v>
                </c:pt>
                <c:pt idx="60">
                  <c:v>1857</c:v>
                </c:pt>
                <c:pt idx="61">
                  <c:v>1885</c:v>
                </c:pt>
                <c:pt idx="62">
                  <c:v>1916</c:v>
                </c:pt>
                <c:pt idx="63">
                  <c:v>1946</c:v>
                </c:pt>
                <c:pt idx="64">
                  <c:v>1977</c:v>
                </c:pt>
                <c:pt idx="65">
                  <c:v>2007</c:v>
                </c:pt>
                <c:pt idx="66">
                  <c:v>2038</c:v>
                </c:pt>
                <c:pt idx="67">
                  <c:v>2069</c:v>
                </c:pt>
                <c:pt idx="68">
                  <c:v>2099</c:v>
                </c:pt>
                <c:pt idx="69">
                  <c:v>2130</c:v>
                </c:pt>
                <c:pt idx="70">
                  <c:v>2160</c:v>
                </c:pt>
                <c:pt idx="71">
                  <c:v>2191</c:v>
                </c:pt>
                <c:pt idx="72">
                  <c:v>2222</c:v>
                </c:pt>
                <c:pt idx="73">
                  <c:v>2250</c:v>
                </c:pt>
                <c:pt idx="74">
                  <c:v>2281</c:v>
                </c:pt>
                <c:pt idx="75">
                  <c:v>2311</c:v>
                </c:pt>
                <c:pt idx="76">
                  <c:v>2342</c:v>
                </c:pt>
                <c:pt idx="77">
                  <c:v>2372</c:v>
                </c:pt>
                <c:pt idx="78">
                  <c:v>2403</c:v>
                </c:pt>
                <c:pt idx="79">
                  <c:v>2434</c:v>
                </c:pt>
                <c:pt idx="80">
                  <c:v>2464</c:v>
                </c:pt>
              </c:numCache>
            </c:numRef>
          </c:xVal>
          <c:yVal>
            <c:numRef>
              <c:f>SensSkin!$H$26:$H$106</c:f>
              <c:numCache>
                <c:formatCode>0.0</c:formatCode>
                <c:ptCount val="81"/>
                <c:pt idx="0">
                  <c:v>50.941170599494683</c:v>
                </c:pt>
                <c:pt idx="1">
                  <c:v>45.62676323175868</c:v>
                </c:pt>
                <c:pt idx="2">
                  <c:v>40.535252034606849</c:v>
                </c:pt>
                <c:pt idx="3">
                  <c:v>36.155994837914406</c:v>
                </c:pt>
                <c:pt idx="4">
                  <c:v>32.127408289411228</c:v>
                </c:pt>
                <c:pt idx="5">
                  <c:v>28.656738147461912</c:v>
                </c:pt>
                <c:pt idx="6">
                  <c:v>25.463757597427456</c:v>
                </c:pt>
                <c:pt idx="7">
                  <c:v>22.626625662506701</c:v>
                </c:pt>
                <c:pt idx="8">
                  <c:v>20.182424673149072</c:v>
                </c:pt>
                <c:pt idx="9">
                  <c:v>17.933559698032308</c:v>
                </c:pt>
                <c:pt idx="10">
                  <c:v>15.996282606385424</c:v>
                </c:pt>
                <c:pt idx="11">
                  <c:v>14.214042371640764</c:v>
                </c:pt>
                <c:pt idx="12">
                  <c:v>12.630232513896333</c:v>
                </c:pt>
                <c:pt idx="13">
                  <c:v>11.352236427379221</c:v>
                </c:pt>
                <c:pt idx="14">
                  <c:v>10.087195885307406</c:v>
                </c:pt>
                <c:pt idx="15">
                  <c:v>8.9974172175178015</c:v>
                </c:pt>
                <c:pt idx="16">
                  <c:v>7.995316918612664</c:v>
                </c:pt>
                <c:pt idx="17">
                  <c:v>7.1312815824209483</c:v>
                </c:pt>
                <c:pt idx="18">
                  <c:v>6.3367119415052446</c:v>
                </c:pt>
                <c:pt idx="19">
                  <c:v>5.6310712787688546</c:v>
                </c:pt>
                <c:pt idx="20">
                  <c:v>5.0226571408008578</c:v>
                </c:pt>
                <c:pt idx="21">
                  <c:v>4.4628548512365063</c:v>
                </c:pt>
                <c:pt idx="22">
                  <c:v>3.9808949170813874</c:v>
                </c:pt>
                <c:pt idx="23">
                  <c:v>3.5377367187811042</c:v>
                </c:pt>
                <c:pt idx="24">
                  <c:v>3.1431533683485191</c:v>
                </c:pt>
                <c:pt idx="25">
                  <c:v>2.8247648066763649</c:v>
                </c:pt>
                <c:pt idx="26">
                  <c:v>2.5103922704233979</c:v>
                </c:pt>
                <c:pt idx="27">
                  <c:v>2.2391734403185057</c:v>
                </c:pt>
                <c:pt idx="28">
                  <c:v>1.9894041296991045</c:v>
                </c:pt>
                <c:pt idx="29">
                  <c:v>1.7741738004746956</c:v>
                </c:pt>
                <c:pt idx="30">
                  <c:v>1.5768461519026111</c:v>
                </c:pt>
                <c:pt idx="31">
                  <c:v>1.401233010489243</c:v>
                </c:pt>
                <c:pt idx="32">
                  <c:v>1.2498866451267132</c:v>
                </c:pt>
                <c:pt idx="33">
                  <c:v>1.1097997508613431</c:v>
                </c:pt>
                <c:pt idx="34">
                  <c:v>0.99039166066916784</c:v>
                </c:pt>
                <c:pt idx="35">
                  <c:v>0.87992843488247463</c:v>
                </c:pt>
                <c:pt idx="36">
                  <c:v>0.7819066967307251</c:v>
                </c:pt>
                <c:pt idx="37">
                  <c:v>0.69956450164612205</c:v>
                </c:pt>
                <c:pt idx="38">
                  <c:v>0.62115318030778655</c:v>
                </c:pt>
                <c:pt idx="39">
                  <c:v>0.55426254620626303</c:v>
                </c:pt>
                <c:pt idx="40">
                  <c:v>0.49271990904218665</c:v>
                </c:pt>
                <c:pt idx="41">
                  <c:v>0.43958649582727205</c:v>
                </c:pt>
                <c:pt idx="42">
                  <c:v>0.38994674649720545</c:v>
                </c:pt>
                <c:pt idx="43">
                  <c:v>0.34691134017303427</c:v>
                </c:pt>
                <c:pt idx="44">
                  <c:v>0.30898899823903225</c:v>
                </c:pt>
                <c:pt idx="45">
                  <c:v>0.27441269060561979</c:v>
                </c:pt>
                <c:pt idx="46">
                  <c:v>0.24525658846948933</c:v>
                </c:pt>
                <c:pt idx="47">
                  <c:v>0.21713032723374934</c:v>
                </c:pt>
                <c:pt idx="48">
                  <c:v>0.1939881715029477</c:v>
                </c:pt>
                <c:pt idx="49">
                  <c:v>0.17363174488936528</c:v>
                </c:pt>
                <c:pt idx="50">
                  <c:v>0.1542174423091647</c:v>
                </c:pt>
                <c:pt idx="51">
                  <c:v>0.13803796432126178</c:v>
                </c:pt>
                <c:pt idx="52">
                  <c:v>0.12258265247683944</c:v>
                </c:pt>
                <c:pt idx="53">
                  <c:v>0.1090327184748488</c:v>
                </c:pt>
                <c:pt idx="54">
                  <c:v>9.7147259168516964E-2</c:v>
                </c:pt>
                <c:pt idx="55">
                  <c:v>8.6163030548962571E-2</c:v>
                </c:pt>
                <c:pt idx="56">
                  <c:v>7.6713051680575767E-2</c:v>
                </c:pt>
                <c:pt idx="57">
                  <c:v>6.8680605313528834E-2</c:v>
                </c:pt>
                <c:pt idx="58">
                  <c:v>6.1025633871832179E-2</c:v>
                </c:pt>
                <c:pt idx="59">
                  <c:v>5.4542572084832708E-2</c:v>
                </c:pt>
                <c:pt idx="60">
                  <c:v>4.8584756297373861E-2</c:v>
                </c:pt>
                <c:pt idx="61">
                  <c:v>4.3632823673531891E-2</c:v>
                </c:pt>
                <c:pt idx="62">
                  <c:v>3.8614707296531665E-2</c:v>
                </c:pt>
                <c:pt idx="63">
                  <c:v>3.5417447821759436E-2</c:v>
                </c:pt>
                <c:pt idx="64">
                  <c:v>3.1793525916851695E-2</c:v>
                </c:pt>
                <c:pt idx="65">
                  <c:v>2.7839332057269735E-2</c:v>
                </c:pt>
                <c:pt idx="66">
                  <c:v>2.4799770461679811E-2</c:v>
                </c:pt>
                <c:pt idx="67">
                  <c:v>2.2172694740065849E-2</c:v>
                </c:pt>
                <c:pt idx="68">
                  <c:v>1.9650039047546131E-2</c:v>
                </c:pt>
                <c:pt idx="69">
                  <c:v>1.7947712120052067E-2</c:v>
                </c:pt>
                <c:pt idx="70">
                  <c:v>1.6067916392312996E-2</c:v>
                </c:pt>
                <c:pt idx="71">
                  <c:v>1.4286139193017381E-2</c:v>
                </c:pt>
                <c:pt idx="72">
                  <c:v>1.2827242936987981E-2</c:v>
                </c:pt>
                <c:pt idx="73">
                  <c:v>1.1684041956971137E-2</c:v>
                </c:pt>
                <c:pt idx="74">
                  <c:v>1.0890915550111019E-2</c:v>
                </c:pt>
                <c:pt idx="75">
                  <c:v>9.6799367582880349E-3</c:v>
                </c:pt>
                <c:pt idx="76">
                  <c:v>8.0315726207794199E-3</c:v>
                </c:pt>
                <c:pt idx="77">
                  <c:v>8.6683273868769627E-3</c:v>
                </c:pt>
                <c:pt idx="78">
                  <c:v>6.9623442309164696E-3</c:v>
                </c:pt>
                <c:pt idx="79">
                  <c:v>6.2706036291248759E-3</c:v>
                </c:pt>
                <c:pt idx="80">
                  <c:v>6.0867337876119752E-3</c:v>
                </c:pt>
              </c:numCache>
            </c:numRef>
          </c:yVal>
          <c:smooth val="1"/>
        </c:ser>
        <c:ser>
          <c:idx val="4"/>
          <c:order val="4"/>
          <c:marker>
            <c:symbol val="none"/>
          </c:marker>
          <c:xVal>
            <c:numRef>
              <c:f>SensSkin!$D$26:$D$106</c:f>
              <c:numCache>
                <c:formatCode>0.0</c:formatCode>
                <c:ptCount val="81"/>
                <c:pt idx="0">
                  <c:v>31</c:v>
                </c:pt>
                <c:pt idx="1">
                  <c:v>59</c:v>
                </c:pt>
                <c:pt idx="2">
                  <c:v>90</c:v>
                </c:pt>
                <c:pt idx="3">
                  <c:v>120</c:v>
                </c:pt>
                <c:pt idx="4">
                  <c:v>151</c:v>
                </c:pt>
                <c:pt idx="5">
                  <c:v>181</c:v>
                </c:pt>
                <c:pt idx="6">
                  <c:v>212</c:v>
                </c:pt>
                <c:pt idx="7">
                  <c:v>243</c:v>
                </c:pt>
                <c:pt idx="8">
                  <c:v>273</c:v>
                </c:pt>
                <c:pt idx="9">
                  <c:v>304</c:v>
                </c:pt>
                <c:pt idx="10">
                  <c:v>334</c:v>
                </c:pt>
                <c:pt idx="11">
                  <c:v>365</c:v>
                </c:pt>
                <c:pt idx="12">
                  <c:v>396</c:v>
                </c:pt>
                <c:pt idx="13">
                  <c:v>424</c:v>
                </c:pt>
                <c:pt idx="14">
                  <c:v>455</c:v>
                </c:pt>
                <c:pt idx="15">
                  <c:v>485</c:v>
                </c:pt>
                <c:pt idx="16">
                  <c:v>516</c:v>
                </c:pt>
                <c:pt idx="17">
                  <c:v>546</c:v>
                </c:pt>
                <c:pt idx="18">
                  <c:v>577</c:v>
                </c:pt>
                <c:pt idx="19">
                  <c:v>608</c:v>
                </c:pt>
                <c:pt idx="20">
                  <c:v>638</c:v>
                </c:pt>
                <c:pt idx="21">
                  <c:v>669</c:v>
                </c:pt>
                <c:pt idx="22">
                  <c:v>699</c:v>
                </c:pt>
                <c:pt idx="23">
                  <c:v>730</c:v>
                </c:pt>
                <c:pt idx="24">
                  <c:v>761</c:v>
                </c:pt>
                <c:pt idx="25">
                  <c:v>789</c:v>
                </c:pt>
                <c:pt idx="26">
                  <c:v>820</c:v>
                </c:pt>
                <c:pt idx="27">
                  <c:v>850</c:v>
                </c:pt>
                <c:pt idx="28">
                  <c:v>881</c:v>
                </c:pt>
                <c:pt idx="29">
                  <c:v>911</c:v>
                </c:pt>
                <c:pt idx="30">
                  <c:v>942</c:v>
                </c:pt>
                <c:pt idx="31">
                  <c:v>973</c:v>
                </c:pt>
                <c:pt idx="32">
                  <c:v>1003</c:v>
                </c:pt>
                <c:pt idx="33">
                  <c:v>1034</c:v>
                </c:pt>
                <c:pt idx="34">
                  <c:v>1064</c:v>
                </c:pt>
                <c:pt idx="35">
                  <c:v>1095</c:v>
                </c:pt>
                <c:pt idx="36">
                  <c:v>1126</c:v>
                </c:pt>
                <c:pt idx="37">
                  <c:v>1155</c:v>
                </c:pt>
                <c:pt idx="38">
                  <c:v>1186</c:v>
                </c:pt>
                <c:pt idx="39">
                  <c:v>1216</c:v>
                </c:pt>
                <c:pt idx="40">
                  <c:v>1247</c:v>
                </c:pt>
                <c:pt idx="41">
                  <c:v>1277</c:v>
                </c:pt>
                <c:pt idx="42">
                  <c:v>1308</c:v>
                </c:pt>
                <c:pt idx="43">
                  <c:v>1339</c:v>
                </c:pt>
                <c:pt idx="44">
                  <c:v>1369</c:v>
                </c:pt>
                <c:pt idx="45">
                  <c:v>1400</c:v>
                </c:pt>
                <c:pt idx="46">
                  <c:v>1430</c:v>
                </c:pt>
                <c:pt idx="47">
                  <c:v>1461</c:v>
                </c:pt>
                <c:pt idx="48">
                  <c:v>1492</c:v>
                </c:pt>
                <c:pt idx="49">
                  <c:v>1520</c:v>
                </c:pt>
                <c:pt idx="50">
                  <c:v>1551</c:v>
                </c:pt>
                <c:pt idx="51">
                  <c:v>1581</c:v>
                </c:pt>
                <c:pt idx="52">
                  <c:v>1612</c:v>
                </c:pt>
                <c:pt idx="53">
                  <c:v>1642</c:v>
                </c:pt>
                <c:pt idx="54">
                  <c:v>1673</c:v>
                </c:pt>
                <c:pt idx="55">
                  <c:v>1704</c:v>
                </c:pt>
                <c:pt idx="56">
                  <c:v>1734</c:v>
                </c:pt>
                <c:pt idx="57">
                  <c:v>1765</c:v>
                </c:pt>
                <c:pt idx="58">
                  <c:v>1795</c:v>
                </c:pt>
                <c:pt idx="59">
                  <c:v>1826</c:v>
                </c:pt>
                <c:pt idx="60">
                  <c:v>1857</c:v>
                </c:pt>
                <c:pt idx="61">
                  <c:v>1885</c:v>
                </c:pt>
                <c:pt idx="62">
                  <c:v>1916</c:v>
                </c:pt>
                <c:pt idx="63">
                  <c:v>1946</c:v>
                </c:pt>
                <c:pt idx="64">
                  <c:v>1977</c:v>
                </c:pt>
                <c:pt idx="65">
                  <c:v>2007</c:v>
                </c:pt>
                <c:pt idx="66">
                  <c:v>2038</c:v>
                </c:pt>
                <c:pt idx="67">
                  <c:v>2069</c:v>
                </c:pt>
                <c:pt idx="68">
                  <c:v>2099</c:v>
                </c:pt>
                <c:pt idx="69">
                  <c:v>2130</c:v>
                </c:pt>
                <c:pt idx="70">
                  <c:v>2160</c:v>
                </c:pt>
                <c:pt idx="71">
                  <c:v>2191</c:v>
                </c:pt>
                <c:pt idx="72">
                  <c:v>2222</c:v>
                </c:pt>
                <c:pt idx="73">
                  <c:v>2250</c:v>
                </c:pt>
                <c:pt idx="74">
                  <c:v>2281</c:v>
                </c:pt>
                <c:pt idx="75">
                  <c:v>2311</c:v>
                </c:pt>
                <c:pt idx="76">
                  <c:v>2342</c:v>
                </c:pt>
                <c:pt idx="77">
                  <c:v>2372</c:v>
                </c:pt>
                <c:pt idx="78">
                  <c:v>2403</c:v>
                </c:pt>
                <c:pt idx="79">
                  <c:v>2434</c:v>
                </c:pt>
                <c:pt idx="80">
                  <c:v>2464</c:v>
                </c:pt>
              </c:numCache>
            </c:numRef>
          </c:xVal>
          <c:yVal>
            <c:numRef>
              <c:f>SensSkin!$I$26:$I$106</c:f>
              <c:numCache>
                <c:formatCode>0.0</c:formatCode>
                <c:ptCount val="81"/>
                <c:pt idx="0">
                  <c:v>41.799287968761966</c:v>
                </c:pt>
                <c:pt idx="1">
                  <c:v>38.268201369573539</c:v>
                </c:pt>
                <c:pt idx="2">
                  <c:v>34.808799094862572</c:v>
                </c:pt>
                <c:pt idx="3">
                  <c:v>31.76374714462905</c:v>
                </c:pt>
                <c:pt idx="4">
                  <c:v>28.89693421024424</c:v>
                </c:pt>
                <c:pt idx="5">
                  <c:v>26.369233821912566</c:v>
                </c:pt>
                <c:pt idx="6">
                  <c:v>23.989316649720543</c:v>
                </c:pt>
                <c:pt idx="7">
                  <c:v>21.82425511155348</c:v>
                </c:pt>
                <c:pt idx="8">
                  <c:v>19.915298087435879</c:v>
                </c:pt>
                <c:pt idx="9">
                  <c:v>18.117806951075725</c:v>
                </c:pt>
                <c:pt idx="10">
                  <c:v>16.53302208667024</c:v>
                </c:pt>
                <c:pt idx="11">
                  <c:v>15.040922212388026</c:v>
                </c:pt>
                <c:pt idx="12">
                  <c:v>13.683382345762194</c:v>
                </c:pt>
                <c:pt idx="13">
                  <c:v>12.563044541918691</c:v>
                </c:pt>
                <c:pt idx="14">
                  <c:v>11.429065896791977</c:v>
                </c:pt>
                <c:pt idx="15">
                  <c:v>10.429273569251972</c:v>
                </c:pt>
                <c:pt idx="16">
                  <c:v>9.4882659984687248</c:v>
                </c:pt>
                <c:pt idx="17">
                  <c:v>8.6580654955975813</c:v>
                </c:pt>
                <c:pt idx="18">
                  <c:v>7.87664792312993</c:v>
                </c:pt>
                <c:pt idx="19">
                  <c:v>7.1660334073960659</c:v>
                </c:pt>
                <c:pt idx="20">
                  <c:v>6.5391269956358631</c:v>
                </c:pt>
                <c:pt idx="21">
                  <c:v>5.9488311409539856</c:v>
                </c:pt>
                <c:pt idx="22">
                  <c:v>5.4285949820075032</c:v>
                </c:pt>
                <c:pt idx="23">
                  <c:v>4.9389473651328384</c:v>
                </c:pt>
                <c:pt idx="24">
                  <c:v>4.4929239116453568</c:v>
                </c:pt>
                <c:pt idx="25">
                  <c:v>4.1248322806829503</c:v>
                </c:pt>
                <c:pt idx="26">
                  <c:v>3.7528598491692828</c:v>
                </c:pt>
                <c:pt idx="27">
                  <c:v>3.4246073233289946</c:v>
                </c:pt>
                <c:pt idx="28">
                  <c:v>3.1153716589847642</c:v>
                </c:pt>
                <c:pt idx="29">
                  <c:v>2.842687537095169</c:v>
                </c:pt>
                <c:pt idx="30">
                  <c:v>2.5864436991042035</c:v>
                </c:pt>
                <c:pt idx="31">
                  <c:v>2.3531179036827199</c:v>
                </c:pt>
                <c:pt idx="32">
                  <c:v>2.1473512080238883</c:v>
                </c:pt>
                <c:pt idx="33">
                  <c:v>1.9529997882244854</c:v>
                </c:pt>
                <c:pt idx="34">
                  <c:v>1.7825775380139346</c:v>
                </c:pt>
                <c:pt idx="35">
                  <c:v>1.6216512270117143</c:v>
                </c:pt>
                <c:pt idx="36">
                  <c:v>1.4753468608835465</c:v>
                </c:pt>
                <c:pt idx="37">
                  <c:v>1.3500421635403108</c:v>
                </c:pt>
                <c:pt idx="38">
                  <c:v>1.2278893799862187</c:v>
                </c:pt>
                <c:pt idx="39">
                  <c:v>1.1206714495061634</c:v>
                </c:pt>
                <c:pt idx="40">
                  <c:v>1.0196996320343006</c:v>
                </c:pt>
                <c:pt idx="41">
                  <c:v>0.93058149421943204</c:v>
                </c:pt>
                <c:pt idx="42">
                  <c:v>0.84609523420871302</c:v>
                </c:pt>
                <c:pt idx="43">
                  <c:v>0.77003546267513978</c:v>
                </c:pt>
                <c:pt idx="44">
                  <c:v>0.7023219649337723</c:v>
                </c:pt>
                <c:pt idx="45">
                  <c:v>0.63880561947783487</c:v>
                </c:pt>
                <c:pt idx="46">
                  <c:v>0.58326030043641386</c:v>
                </c:pt>
                <c:pt idx="47">
                  <c:v>0.52996371809202969</c:v>
                </c:pt>
                <c:pt idx="48">
                  <c:v>0.48289782727203129</c:v>
                </c:pt>
                <c:pt idx="49">
                  <c:v>0.44273966924431518</c:v>
                </c:pt>
                <c:pt idx="50">
                  <c:v>0.40266843335119823</c:v>
                </c:pt>
                <c:pt idx="51">
                  <c:v>0.36774607350126337</c:v>
                </c:pt>
                <c:pt idx="52">
                  <c:v>0.33441456121277086</c:v>
                </c:pt>
                <c:pt idx="53">
                  <c:v>0.30485758732103213</c:v>
                </c:pt>
                <c:pt idx="54">
                  <c:v>0.27745664941428683</c:v>
                </c:pt>
                <c:pt idx="55">
                  <c:v>0.25221071801546591</c:v>
                </c:pt>
                <c:pt idx="56">
                  <c:v>0.22995445096087591</c:v>
                </c:pt>
                <c:pt idx="57">
                  <c:v>0.20950538657070669</c:v>
                </c:pt>
                <c:pt idx="58">
                  <c:v>0.1909162785391624</c:v>
                </c:pt>
                <c:pt idx="59">
                  <c:v>0.17383516193247073</c:v>
                </c:pt>
                <c:pt idx="60">
                  <c:v>0.15814511829109562</c:v>
                </c:pt>
                <c:pt idx="61">
                  <c:v>0.14507964122195852</c:v>
                </c:pt>
                <c:pt idx="62">
                  <c:v>0.13177481280147005</c:v>
                </c:pt>
                <c:pt idx="63">
                  <c:v>0.12092993660516042</c:v>
                </c:pt>
                <c:pt idx="64">
                  <c:v>0.11017462445448281</c:v>
                </c:pt>
                <c:pt idx="65">
                  <c:v>0.1000317680116377</c:v>
                </c:pt>
                <c:pt idx="66">
                  <c:v>9.0964649873669701E-2</c:v>
                </c:pt>
                <c:pt idx="67">
                  <c:v>8.2783113084756152E-2</c:v>
                </c:pt>
                <c:pt idx="68">
                  <c:v>7.5371389480131695E-2</c:v>
                </c:pt>
                <c:pt idx="69">
                  <c:v>6.8892440548196932E-2</c:v>
                </c:pt>
                <c:pt idx="70">
                  <c:v>6.2835016767475688E-2</c:v>
                </c:pt>
                <c:pt idx="71">
                  <c:v>5.7109809509225944E-2</c:v>
                </c:pt>
                <c:pt idx="72">
                  <c:v>5.2005681953908589E-2</c:v>
                </c:pt>
                <c:pt idx="73">
                  <c:v>4.7818406860117915E-2</c:v>
                </c:pt>
                <c:pt idx="74">
                  <c:v>4.3868156802695048E-2</c:v>
                </c:pt>
                <c:pt idx="75">
                  <c:v>3.9960514968226016E-2</c:v>
                </c:pt>
                <c:pt idx="76">
                  <c:v>3.5846805910726594E-2</c:v>
                </c:pt>
                <c:pt idx="77">
                  <c:v>3.3886701783936914E-2</c:v>
                </c:pt>
                <c:pt idx="78">
                  <c:v>3.0193767245999547E-2</c:v>
                </c:pt>
                <c:pt idx="79">
                  <c:v>2.7514563509685324E-2</c:v>
                </c:pt>
                <c:pt idx="80">
                  <c:v>2.549654681877345E-2</c:v>
                </c:pt>
              </c:numCache>
            </c:numRef>
          </c:yVal>
          <c:smooth val="1"/>
        </c:ser>
        <c:ser>
          <c:idx val="5"/>
          <c:order val="5"/>
          <c:marker>
            <c:symbol val="none"/>
          </c:marker>
          <c:xVal>
            <c:numRef>
              <c:f>SensSkin!$D$26:$D$106</c:f>
              <c:numCache>
                <c:formatCode>0.0</c:formatCode>
                <c:ptCount val="81"/>
                <c:pt idx="0">
                  <c:v>31</c:v>
                </c:pt>
                <c:pt idx="1">
                  <c:v>59</c:v>
                </c:pt>
                <c:pt idx="2">
                  <c:v>90</c:v>
                </c:pt>
                <c:pt idx="3">
                  <c:v>120</c:v>
                </c:pt>
                <c:pt idx="4">
                  <c:v>151</c:v>
                </c:pt>
                <c:pt idx="5">
                  <c:v>181</c:v>
                </c:pt>
                <c:pt idx="6">
                  <c:v>212</c:v>
                </c:pt>
                <c:pt idx="7">
                  <c:v>243</c:v>
                </c:pt>
                <c:pt idx="8">
                  <c:v>273</c:v>
                </c:pt>
                <c:pt idx="9">
                  <c:v>304</c:v>
                </c:pt>
                <c:pt idx="10">
                  <c:v>334</c:v>
                </c:pt>
                <c:pt idx="11">
                  <c:v>365</c:v>
                </c:pt>
                <c:pt idx="12">
                  <c:v>396</c:v>
                </c:pt>
                <c:pt idx="13">
                  <c:v>424</c:v>
                </c:pt>
                <c:pt idx="14">
                  <c:v>455</c:v>
                </c:pt>
                <c:pt idx="15">
                  <c:v>485</c:v>
                </c:pt>
                <c:pt idx="16">
                  <c:v>516</c:v>
                </c:pt>
                <c:pt idx="17">
                  <c:v>546</c:v>
                </c:pt>
                <c:pt idx="18">
                  <c:v>577</c:v>
                </c:pt>
                <c:pt idx="19">
                  <c:v>608</c:v>
                </c:pt>
                <c:pt idx="20">
                  <c:v>638</c:v>
                </c:pt>
                <c:pt idx="21">
                  <c:v>669</c:v>
                </c:pt>
                <c:pt idx="22">
                  <c:v>699</c:v>
                </c:pt>
                <c:pt idx="23">
                  <c:v>730</c:v>
                </c:pt>
                <c:pt idx="24">
                  <c:v>761</c:v>
                </c:pt>
                <c:pt idx="25">
                  <c:v>789</c:v>
                </c:pt>
                <c:pt idx="26">
                  <c:v>820</c:v>
                </c:pt>
                <c:pt idx="27">
                  <c:v>850</c:v>
                </c:pt>
                <c:pt idx="28">
                  <c:v>881</c:v>
                </c:pt>
                <c:pt idx="29">
                  <c:v>911</c:v>
                </c:pt>
                <c:pt idx="30">
                  <c:v>942</c:v>
                </c:pt>
                <c:pt idx="31">
                  <c:v>973</c:v>
                </c:pt>
                <c:pt idx="32">
                  <c:v>1003</c:v>
                </c:pt>
                <c:pt idx="33">
                  <c:v>1034</c:v>
                </c:pt>
                <c:pt idx="34">
                  <c:v>1064</c:v>
                </c:pt>
                <c:pt idx="35">
                  <c:v>1095</c:v>
                </c:pt>
                <c:pt idx="36">
                  <c:v>1126</c:v>
                </c:pt>
                <c:pt idx="37">
                  <c:v>1155</c:v>
                </c:pt>
                <c:pt idx="38">
                  <c:v>1186</c:v>
                </c:pt>
                <c:pt idx="39">
                  <c:v>1216</c:v>
                </c:pt>
                <c:pt idx="40">
                  <c:v>1247</c:v>
                </c:pt>
                <c:pt idx="41">
                  <c:v>1277</c:v>
                </c:pt>
                <c:pt idx="42">
                  <c:v>1308</c:v>
                </c:pt>
                <c:pt idx="43">
                  <c:v>1339</c:v>
                </c:pt>
                <c:pt idx="44">
                  <c:v>1369</c:v>
                </c:pt>
                <c:pt idx="45">
                  <c:v>1400</c:v>
                </c:pt>
                <c:pt idx="46">
                  <c:v>1430</c:v>
                </c:pt>
                <c:pt idx="47">
                  <c:v>1461</c:v>
                </c:pt>
                <c:pt idx="48">
                  <c:v>1492</c:v>
                </c:pt>
                <c:pt idx="49">
                  <c:v>1520</c:v>
                </c:pt>
                <c:pt idx="50">
                  <c:v>1551</c:v>
                </c:pt>
                <c:pt idx="51">
                  <c:v>1581</c:v>
                </c:pt>
                <c:pt idx="52">
                  <c:v>1612</c:v>
                </c:pt>
                <c:pt idx="53">
                  <c:v>1642</c:v>
                </c:pt>
                <c:pt idx="54">
                  <c:v>1673</c:v>
                </c:pt>
                <c:pt idx="55">
                  <c:v>1704</c:v>
                </c:pt>
                <c:pt idx="56">
                  <c:v>1734</c:v>
                </c:pt>
                <c:pt idx="57">
                  <c:v>1765</c:v>
                </c:pt>
                <c:pt idx="58">
                  <c:v>1795</c:v>
                </c:pt>
                <c:pt idx="59">
                  <c:v>1826</c:v>
                </c:pt>
                <c:pt idx="60">
                  <c:v>1857</c:v>
                </c:pt>
                <c:pt idx="61">
                  <c:v>1885</c:v>
                </c:pt>
                <c:pt idx="62">
                  <c:v>1916</c:v>
                </c:pt>
                <c:pt idx="63">
                  <c:v>1946</c:v>
                </c:pt>
                <c:pt idx="64">
                  <c:v>1977</c:v>
                </c:pt>
                <c:pt idx="65">
                  <c:v>2007</c:v>
                </c:pt>
                <c:pt idx="66">
                  <c:v>2038</c:v>
                </c:pt>
                <c:pt idx="67">
                  <c:v>2069</c:v>
                </c:pt>
                <c:pt idx="68">
                  <c:v>2099</c:v>
                </c:pt>
                <c:pt idx="69">
                  <c:v>2130</c:v>
                </c:pt>
                <c:pt idx="70">
                  <c:v>2160</c:v>
                </c:pt>
                <c:pt idx="71">
                  <c:v>2191</c:v>
                </c:pt>
                <c:pt idx="72">
                  <c:v>2222</c:v>
                </c:pt>
                <c:pt idx="73">
                  <c:v>2250</c:v>
                </c:pt>
                <c:pt idx="74">
                  <c:v>2281</c:v>
                </c:pt>
                <c:pt idx="75">
                  <c:v>2311</c:v>
                </c:pt>
                <c:pt idx="76">
                  <c:v>2342</c:v>
                </c:pt>
                <c:pt idx="77">
                  <c:v>2372</c:v>
                </c:pt>
                <c:pt idx="78">
                  <c:v>2403</c:v>
                </c:pt>
                <c:pt idx="79">
                  <c:v>2434</c:v>
                </c:pt>
                <c:pt idx="80">
                  <c:v>2464</c:v>
                </c:pt>
              </c:numCache>
            </c:numRef>
          </c:xVal>
          <c:yVal>
            <c:numRef>
              <c:f>SensSkin!$J$26:$J$106</c:f>
              <c:numCache>
                <c:formatCode>0.0</c:formatCode>
                <c:ptCount val="81"/>
                <c:pt idx="0">
                  <c:v>32.894336430135525</c:v>
                </c:pt>
                <c:pt idx="1">
                  <c:v>30.733391089503105</c:v>
                </c:pt>
                <c:pt idx="2">
                  <c:v>28.571905606002606</c:v>
                </c:pt>
                <c:pt idx="3">
                  <c:v>26.628161828650182</c:v>
                </c:pt>
                <c:pt idx="4">
                  <c:v>24.758561048618027</c:v>
                </c:pt>
                <c:pt idx="5">
                  <c:v>23.074370049307099</c:v>
                </c:pt>
                <c:pt idx="6">
                  <c:v>21.454303682719548</c:v>
                </c:pt>
                <c:pt idx="7">
                  <c:v>19.94801211009877</c:v>
                </c:pt>
                <c:pt idx="8">
                  <c:v>18.591107644437642</c:v>
                </c:pt>
                <c:pt idx="9">
                  <c:v>17.285768589082</c:v>
                </c:pt>
                <c:pt idx="10">
                  <c:v>16.109938536406094</c:v>
                </c:pt>
                <c:pt idx="11">
                  <c:v>14.978887472781564</c:v>
                </c:pt>
                <c:pt idx="12">
                  <c:v>13.927180427072967</c:v>
                </c:pt>
                <c:pt idx="13">
                  <c:v>13.04099320021438</c:v>
                </c:pt>
                <c:pt idx="14">
                  <c:v>12.12529661174489</c:v>
                </c:pt>
                <c:pt idx="15">
                  <c:v>11.300438976801164</c:v>
                </c:pt>
                <c:pt idx="16">
                  <c:v>10.507193838756603</c:v>
                </c:pt>
                <c:pt idx="17">
                  <c:v>9.7922966014853401</c:v>
                </c:pt>
                <c:pt idx="18">
                  <c:v>9.1047651703544918</c:v>
                </c:pt>
                <c:pt idx="19">
                  <c:v>8.4656872268585879</c:v>
                </c:pt>
                <c:pt idx="20">
                  <c:v>7.8897528216828725</c:v>
                </c:pt>
                <c:pt idx="21">
                  <c:v>7.3357278159405865</c:v>
                </c:pt>
                <c:pt idx="22">
                  <c:v>6.8367931261006056</c:v>
                </c:pt>
                <c:pt idx="23">
                  <c:v>6.3569700886608995</c:v>
                </c:pt>
                <c:pt idx="24">
                  <c:v>5.9104616963479062</c:v>
                </c:pt>
                <c:pt idx="25">
                  <c:v>5.5342172427838614</c:v>
                </c:pt>
                <c:pt idx="26">
                  <c:v>5.1458653202664424</c:v>
                </c:pt>
                <c:pt idx="27">
                  <c:v>4.7958322027409848</c:v>
                </c:pt>
                <c:pt idx="28">
                  <c:v>4.4590184900084227</c:v>
                </c:pt>
                <c:pt idx="29">
                  <c:v>4.1555935442921683</c:v>
                </c:pt>
                <c:pt idx="30">
                  <c:v>3.8640612008268893</c:v>
                </c:pt>
                <c:pt idx="31">
                  <c:v>3.592849900007657</c:v>
                </c:pt>
                <c:pt idx="32">
                  <c:v>3.3485168379144019</c:v>
                </c:pt>
                <c:pt idx="33">
                  <c:v>3.1130684376387721</c:v>
                </c:pt>
                <c:pt idx="34">
                  <c:v>2.9016191608605775</c:v>
                </c:pt>
                <c:pt idx="35">
                  <c:v>2.6978924509608762</c:v>
                </c:pt>
                <c:pt idx="36">
                  <c:v>2.5085419307863104</c:v>
                </c:pt>
                <c:pt idx="37">
                  <c:v>2.343178657683179</c:v>
                </c:pt>
                <c:pt idx="38">
                  <c:v>2.1784942891049695</c:v>
                </c:pt>
                <c:pt idx="39">
                  <c:v>2.0304726082229543</c:v>
                </c:pt>
                <c:pt idx="40">
                  <c:v>1.8880711559604932</c:v>
                </c:pt>
                <c:pt idx="41">
                  <c:v>1.7597242982926269</c:v>
                </c:pt>
                <c:pt idx="42">
                  <c:v>1.6358667319500804</c:v>
                </c:pt>
                <c:pt idx="43">
                  <c:v>1.521260136130465</c:v>
                </c:pt>
                <c:pt idx="44">
                  <c:v>1.4175650058954139</c:v>
                </c:pt>
                <c:pt idx="45">
                  <c:v>1.317979664344231</c:v>
                </c:pt>
                <c:pt idx="46">
                  <c:v>1.2285863676594442</c:v>
                </c:pt>
                <c:pt idx="47">
                  <c:v>1.1418873948395989</c:v>
                </c:pt>
                <c:pt idx="48">
                  <c:v>1.0622913668172422</c:v>
                </c:pt>
                <c:pt idx="49">
                  <c:v>0.99426268968685416</c:v>
                </c:pt>
                <c:pt idx="50">
                  <c:v>0.92439309532195091</c:v>
                </c:pt>
                <c:pt idx="51">
                  <c:v>0.86173627180154666</c:v>
                </c:pt>
                <c:pt idx="52">
                  <c:v>0.80113140142408701</c:v>
                </c:pt>
                <c:pt idx="53">
                  <c:v>0.74642418650945563</c:v>
                </c:pt>
                <c:pt idx="54">
                  <c:v>0.69409931429446448</c:v>
                </c:pt>
                <c:pt idx="55">
                  <c:v>0.64521273884082386</c:v>
                </c:pt>
                <c:pt idx="56">
                  <c:v>0.60116638465661132</c:v>
                </c:pt>
                <c:pt idx="57">
                  <c:v>0.55916094969757291</c:v>
                </c:pt>
                <c:pt idx="58">
                  <c:v>0.52092137125794347</c:v>
                </c:pt>
                <c:pt idx="59">
                  <c:v>0.4844290542837455</c:v>
                </c:pt>
                <c:pt idx="60">
                  <c:v>0.45038551963861884</c:v>
                </c:pt>
                <c:pt idx="61">
                  <c:v>0.42160438327846261</c:v>
                </c:pt>
                <c:pt idx="62">
                  <c:v>0.3918150608682337</c:v>
                </c:pt>
                <c:pt idx="63">
                  <c:v>0.36562385958196159</c:v>
                </c:pt>
                <c:pt idx="64">
                  <c:v>0.34001914784472864</c:v>
                </c:pt>
                <c:pt idx="65">
                  <c:v>0.31646549207564512</c:v>
                </c:pt>
                <c:pt idx="66">
                  <c:v>0.29416082306102137</c:v>
                </c:pt>
                <c:pt idx="67">
                  <c:v>0.27347293147538476</c:v>
                </c:pt>
                <c:pt idx="68">
                  <c:v>0.25469451864328918</c:v>
                </c:pt>
                <c:pt idx="69">
                  <c:v>0.23700329010029861</c:v>
                </c:pt>
                <c:pt idx="70">
                  <c:v>0.22078623459153207</c:v>
                </c:pt>
                <c:pt idx="71">
                  <c:v>0.20518418252813722</c:v>
                </c:pt>
                <c:pt idx="72">
                  <c:v>0.19075214884005823</c:v>
                </c:pt>
                <c:pt idx="73">
                  <c:v>0.17860918566725367</c:v>
                </c:pt>
                <c:pt idx="74">
                  <c:v>0.16628222632263992</c:v>
                </c:pt>
                <c:pt idx="75">
                  <c:v>0.15485529408161705</c:v>
                </c:pt>
                <c:pt idx="76">
                  <c:v>0.14353320312380372</c:v>
                </c:pt>
                <c:pt idx="77">
                  <c:v>0.1345822156037057</c:v>
                </c:pt>
                <c:pt idx="78">
                  <c:v>0.1245885883163617</c:v>
                </c:pt>
                <c:pt idx="79">
                  <c:v>0.11580979220580355</c:v>
                </c:pt>
                <c:pt idx="80">
                  <c:v>0.10816994824286043</c:v>
                </c:pt>
              </c:numCache>
            </c:numRef>
          </c:yVal>
          <c:smooth val="1"/>
        </c:ser>
        <c:ser>
          <c:idx val="6"/>
          <c:order val="6"/>
          <c:marker>
            <c:symbol val="none"/>
          </c:marker>
          <c:xVal>
            <c:numRef>
              <c:f>SensSkin!$D$26:$D$106</c:f>
              <c:numCache>
                <c:formatCode>0.0</c:formatCode>
                <c:ptCount val="81"/>
                <c:pt idx="0">
                  <c:v>31</c:v>
                </c:pt>
                <c:pt idx="1">
                  <c:v>59</c:v>
                </c:pt>
                <c:pt idx="2">
                  <c:v>90</c:v>
                </c:pt>
                <c:pt idx="3">
                  <c:v>120</c:v>
                </c:pt>
                <c:pt idx="4">
                  <c:v>151</c:v>
                </c:pt>
                <c:pt idx="5">
                  <c:v>181</c:v>
                </c:pt>
                <c:pt idx="6">
                  <c:v>212</c:v>
                </c:pt>
                <c:pt idx="7">
                  <c:v>243</c:v>
                </c:pt>
                <c:pt idx="8">
                  <c:v>273</c:v>
                </c:pt>
                <c:pt idx="9">
                  <c:v>304</c:v>
                </c:pt>
                <c:pt idx="10">
                  <c:v>334</c:v>
                </c:pt>
                <c:pt idx="11">
                  <c:v>365</c:v>
                </c:pt>
                <c:pt idx="12">
                  <c:v>396</c:v>
                </c:pt>
                <c:pt idx="13">
                  <c:v>424</c:v>
                </c:pt>
                <c:pt idx="14">
                  <c:v>455</c:v>
                </c:pt>
                <c:pt idx="15">
                  <c:v>485</c:v>
                </c:pt>
                <c:pt idx="16">
                  <c:v>516</c:v>
                </c:pt>
                <c:pt idx="17">
                  <c:v>546</c:v>
                </c:pt>
                <c:pt idx="18">
                  <c:v>577</c:v>
                </c:pt>
                <c:pt idx="19">
                  <c:v>608</c:v>
                </c:pt>
                <c:pt idx="20">
                  <c:v>638</c:v>
                </c:pt>
                <c:pt idx="21">
                  <c:v>669</c:v>
                </c:pt>
                <c:pt idx="22">
                  <c:v>699</c:v>
                </c:pt>
                <c:pt idx="23">
                  <c:v>730</c:v>
                </c:pt>
                <c:pt idx="24">
                  <c:v>761</c:v>
                </c:pt>
                <c:pt idx="25">
                  <c:v>789</c:v>
                </c:pt>
                <c:pt idx="26">
                  <c:v>820</c:v>
                </c:pt>
                <c:pt idx="27">
                  <c:v>850</c:v>
                </c:pt>
                <c:pt idx="28">
                  <c:v>881</c:v>
                </c:pt>
                <c:pt idx="29">
                  <c:v>911</c:v>
                </c:pt>
                <c:pt idx="30">
                  <c:v>942</c:v>
                </c:pt>
                <c:pt idx="31">
                  <c:v>973</c:v>
                </c:pt>
                <c:pt idx="32">
                  <c:v>1003</c:v>
                </c:pt>
                <c:pt idx="33">
                  <c:v>1034</c:v>
                </c:pt>
                <c:pt idx="34">
                  <c:v>1064</c:v>
                </c:pt>
                <c:pt idx="35">
                  <c:v>1095</c:v>
                </c:pt>
                <c:pt idx="36">
                  <c:v>1126</c:v>
                </c:pt>
                <c:pt idx="37">
                  <c:v>1155</c:v>
                </c:pt>
                <c:pt idx="38">
                  <c:v>1186</c:v>
                </c:pt>
                <c:pt idx="39">
                  <c:v>1216</c:v>
                </c:pt>
                <c:pt idx="40">
                  <c:v>1247</c:v>
                </c:pt>
                <c:pt idx="41">
                  <c:v>1277</c:v>
                </c:pt>
                <c:pt idx="42">
                  <c:v>1308</c:v>
                </c:pt>
                <c:pt idx="43">
                  <c:v>1339</c:v>
                </c:pt>
                <c:pt idx="44">
                  <c:v>1369</c:v>
                </c:pt>
                <c:pt idx="45">
                  <c:v>1400</c:v>
                </c:pt>
                <c:pt idx="46">
                  <c:v>1430</c:v>
                </c:pt>
                <c:pt idx="47">
                  <c:v>1461</c:v>
                </c:pt>
                <c:pt idx="48">
                  <c:v>1492</c:v>
                </c:pt>
                <c:pt idx="49">
                  <c:v>1520</c:v>
                </c:pt>
                <c:pt idx="50">
                  <c:v>1551</c:v>
                </c:pt>
                <c:pt idx="51">
                  <c:v>1581</c:v>
                </c:pt>
                <c:pt idx="52">
                  <c:v>1612</c:v>
                </c:pt>
                <c:pt idx="53">
                  <c:v>1642</c:v>
                </c:pt>
                <c:pt idx="54">
                  <c:v>1673</c:v>
                </c:pt>
                <c:pt idx="55">
                  <c:v>1704</c:v>
                </c:pt>
                <c:pt idx="56">
                  <c:v>1734</c:v>
                </c:pt>
                <c:pt idx="57">
                  <c:v>1765</c:v>
                </c:pt>
                <c:pt idx="58">
                  <c:v>1795</c:v>
                </c:pt>
                <c:pt idx="59">
                  <c:v>1826</c:v>
                </c:pt>
                <c:pt idx="60">
                  <c:v>1857</c:v>
                </c:pt>
                <c:pt idx="61">
                  <c:v>1885</c:v>
                </c:pt>
                <c:pt idx="62">
                  <c:v>1916</c:v>
                </c:pt>
                <c:pt idx="63">
                  <c:v>1946</c:v>
                </c:pt>
                <c:pt idx="64">
                  <c:v>1977</c:v>
                </c:pt>
                <c:pt idx="65">
                  <c:v>2007</c:v>
                </c:pt>
                <c:pt idx="66">
                  <c:v>2038</c:v>
                </c:pt>
                <c:pt idx="67">
                  <c:v>2069</c:v>
                </c:pt>
                <c:pt idx="68">
                  <c:v>2099</c:v>
                </c:pt>
                <c:pt idx="69">
                  <c:v>2130</c:v>
                </c:pt>
                <c:pt idx="70">
                  <c:v>2160</c:v>
                </c:pt>
                <c:pt idx="71">
                  <c:v>2191</c:v>
                </c:pt>
                <c:pt idx="72">
                  <c:v>2222</c:v>
                </c:pt>
                <c:pt idx="73">
                  <c:v>2250</c:v>
                </c:pt>
                <c:pt idx="74">
                  <c:v>2281</c:v>
                </c:pt>
                <c:pt idx="75">
                  <c:v>2311</c:v>
                </c:pt>
                <c:pt idx="76">
                  <c:v>2342</c:v>
                </c:pt>
                <c:pt idx="77">
                  <c:v>2372</c:v>
                </c:pt>
                <c:pt idx="78">
                  <c:v>2403</c:v>
                </c:pt>
                <c:pt idx="79">
                  <c:v>2434</c:v>
                </c:pt>
                <c:pt idx="80">
                  <c:v>2464</c:v>
                </c:pt>
              </c:numCache>
            </c:numRef>
          </c:xVal>
          <c:yVal>
            <c:numRef>
              <c:f>SensSkin!$K$26:$K$106</c:f>
              <c:numCache>
                <c:formatCode>0.0</c:formatCode>
                <c:ptCount val="81"/>
                <c:pt idx="0">
                  <c:v>24.250669815481203</c:v>
                </c:pt>
                <c:pt idx="1">
                  <c:v>23.088739290406554</c:v>
                </c:pt>
                <c:pt idx="2">
                  <c:v>21.903855701247991</c:v>
                </c:pt>
                <c:pt idx="3">
                  <c:v>20.816973675981931</c:v>
                </c:pt>
                <c:pt idx="4">
                  <c:v>19.750560053288417</c:v>
                </c:pt>
                <c:pt idx="5">
                  <c:v>18.770604041803843</c:v>
                </c:pt>
                <c:pt idx="6">
                  <c:v>17.809031283362685</c:v>
                </c:pt>
                <c:pt idx="7">
                  <c:v>16.89674009846107</c:v>
                </c:pt>
                <c:pt idx="8">
                  <c:v>16.058408084679581</c:v>
                </c:pt>
                <c:pt idx="9">
                  <c:v>15.235751935686396</c:v>
                </c:pt>
                <c:pt idx="10">
                  <c:v>14.47982112977567</c:v>
                </c:pt>
                <c:pt idx="11">
                  <c:v>13.738079257177858</c:v>
                </c:pt>
                <c:pt idx="12">
                  <c:v>13.034297233289948</c:v>
                </c:pt>
                <c:pt idx="13">
                  <c:v>12.429732909118751</c:v>
                </c:pt>
                <c:pt idx="14">
                  <c:v>11.792948397978716</c:v>
                </c:pt>
                <c:pt idx="15">
                  <c:v>11.207799341091802</c:v>
                </c:pt>
                <c:pt idx="16">
                  <c:v>10.633746703315213</c:v>
                </c:pt>
                <c:pt idx="17">
                  <c:v>10.10604946788148</c:v>
                </c:pt>
                <c:pt idx="18">
                  <c:v>9.5883422071816859</c:v>
                </c:pt>
                <c:pt idx="19">
                  <c:v>9.0972518496286661</c:v>
                </c:pt>
                <c:pt idx="20">
                  <c:v>8.6458408288798712</c:v>
                </c:pt>
                <c:pt idx="21">
                  <c:v>8.2028899023045714</c:v>
                </c:pt>
                <c:pt idx="22">
                  <c:v>7.7959314092335958</c:v>
                </c:pt>
                <c:pt idx="23">
                  <c:v>7.396672627363909</c:v>
                </c:pt>
                <c:pt idx="24">
                  <c:v>7.0176496303498972</c:v>
                </c:pt>
                <c:pt idx="25">
                  <c:v>6.6920492597810277</c:v>
                </c:pt>
                <c:pt idx="26">
                  <c:v>6.3493513758517732</c:v>
                </c:pt>
                <c:pt idx="27">
                  <c:v>6.0343181394992733</c:v>
                </c:pt>
                <c:pt idx="28">
                  <c:v>5.7251369239721317</c:v>
                </c:pt>
                <c:pt idx="29">
                  <c:v>5.4410107322563359</c:v>
                </c:pt>
                <c:pt idx="30">
                  <c:v>5.1624178970982317</c:v>
                </c:pt>
                <c:pt idx="31">
                  <c:v>4.8980061140800863</c:v>
                </c:pt>
                <c:pt idx="32">
                  <c:v>4.6550202763953754</c:v>
                </c:pt>
                <c:pt idx="33">
                  <c:v>4.4163474119898938</c:v>
                </c:pt>
                <c:pt idx="34">
                  <c:v>4.197414275629737</c:v>
                </c:pt>
                <c:pt idx="35">
                  <c:v>3.9823885031773987</c:v>
                </c:pt>
                <c:pt idx="36">
                  <c:v>3.7784237874588475</c:v>
                </c:pt>
                <c:pt idx="37">
                  <c:v>3.5969232678967926</c:v>
                </c:pt>
                <c:pt idx="38">
                  <c:v>3.4125655727739073</c:v>
                </c:pt>
                <c:pt idx="39">
                  <c:v>3.2433603757752087</c:v>
                </c:pt>
                <c:pt idx="40">
                  <c:v>3.0773163661281679</c:v>
                </c:pt>
                <c:pt idx="41">
                  <c:v>2.9246940799326238</c:v>
                </c:pt>
                <c:pt idx="42">
                  <c:v>2.7746929264221731</c:v>
                </c:pt>
                <c:pt idx="43">
                  <c:v>2.6327228714493534</c:v>
                </c:pt>
                <c:pt idx="44">
                  <c:v>2.5019793296072281</c:v>
                </c:pt>
                <c:pt idx="45">
                  <c:v>2.373796600260317</c:v>
                </c:pt>
                <c:pt idx="46">
                  <c:v>2.256196468876809</c:v>
                </c:pt>
                <c:pt idx="47">
                  <c:v>2.1403614041803847</c:v>
                </c:pt>
                <c:pt idx="48">
                  <c:v>2.0311048555240796</c:v>
                </c:pt>
                <c:pt idx="49">
                  <c:v>1.9366387290406555</c:v>
                </c:pt>
                <c:pt idx="50">
                  <c:v>1.837416849858357</c:v>
                </c:pt>
                <c:pt idx="51">
                  <c:v>1.7464119249674603</c:v>
                </c:pt>
                <c:pt idx="52">
                  <c:v>1.6569045387030092</c:v>
                </c:pt>
                <c:pt idx="53">
                  <c:v>1.57459126544675</c:v>
                </c:pt>
                <c:pt idx="54">
                  <c:v>1.4940045593752393</c:v>
                </c:pt>
                <c:pt idx="55">
                  <c:v>1.417399615649644</c:v>
                </c:pt>
                <c:pt idx="56">
                  <c:v>1.3469973291478448</c:v>
                </c:pt>
                <c:pt idx="57">
                  <c:v>1.278145747951918</c:v>
                </c:pt>
                <c:pt idx="58">
                  <c:v>1.2146273274634409</c:v>
                </c:pt>
                <c:pt idx="59">
                  <c:v>1.1524793054130618</c:v>
                </c:pt>
                <c:pt idx="60">
                  <c:v>1.093441374473624</c:v>
                </c:pt>
                <c:pt idx="61">
                  <c:v>1.0426572991348291</c:v>
                </c:pt>
                <c:pt idx="62">
                  <c:v>0.98914738167062255</c:v>
                </c:pt>
                <c:pt idx="63">
                  <c:v>0.94038776265217072</c:v>
                </c:pt>
                <c:pt idx="64">
                  <c:v>0.89226812051144633</c:v>
                </c:pt>
                <c:pt idx="65">
                  <c:v>0.84772950310083461</c:v>
                </c:pt>
                <c:pt idx="66">
                  <c:v>0.80425503468340864</c:v>
                </c:pt>
                <c:pt idx="67">
                  <c:v>0.76304582283132993</c:v>
                </c:pt>
                <c:pt idx="68">
                  <c:v>0.72507901584870993</c:v>
                </c:pt>
                <c:pt idx="69">
                  <c:v>0.68807561702779274</c:v>
                </c:pt>
                <c:pt idx="70">
                  <c:v>0.65386723237118149</c:v>
                </c:pt>
                <c:pt idx="71">
                  <c:v>0.62030597167138812</c:v>
                </c:pt>
                <c:pt idx="72">
                  <c:v>0.5885142961488401</c:v>
                </c:pt>
                <c:pt idx="73">
                  <c:v>0.56120845877038517</c:v>
                </c:pt>
                <c:pt idx="74">
                  <c:v>0.5326016903759283</c:v>
                </c:pt>
                <c:pt idx="75">
                  <c:v>0.50609240318505477</c:v>
                </c:pt>
                <c:pt idx="76">
                  <c:v>0.47985301401117836</c:v>
                </c:pt>
                <c:pt idx="77">
                  <c:v>0.45657208697649493</c:v>
                </c:pt>
                <c:pt idx="78">
                  <c:v>0.4328022231069597</c:v>
                </c:pt>
                <c:pt idx="79">
                  <c:v>0.41059438603476001</c:v>
                </c:pt>
                <c:pt idx="80">
                  <c:v>0.39037001270959348</c:v>
                </c:pt>
              </c:numCache>
            </c:numRef>
          </c:yVal>
          <c:smooth val="1"/>
        </c:ser>
        <c:axId val="157346048"/>
        <c:axId val="157098368"/>
      </c:scatterChart>
      <c:valAx>
        <c:axId val="157346048"/>
        <c:scaling>
          <c:orientation val="minMax"/>
          <c:max val="365"/>
          <c:min val="1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days</a:t>
                </a:r>
              </a:p>
            </c:rich>
          </c:tx>
        </c:title>
        <c:numFmt formatCode="General" sourceLinked="0"/>
        <c:tickLblPos val="nextTo"/>
        <c:crossAx val="157098368"/>
        <c:crossesAt val="1"/>
        <c:crossBetween val="midCat"/>
      </c:valAx>
      <c:valAx>
        <c:axId val="157098368"/>
        <c:scaling>
          <c:logBase val="10"/>
          <c:orientation val="minMax"/>
          <c:min val="1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Oil Rate (bopd)</a:t>
                </a:r>
              </a:p>
            </c:rich>
          </c:tx>
          <c:layout>
            <c:manualLayout>
              <c:xMode val="edge"/>
              <c:yMode val="edge"/>
              <c:x val="1.1222541225165899E-2"/>
              <c:y val="0.2758674967085713"/>
            </c:manualLayout>
          </c:layout>
        </c:title>
        <c:numFmt formatCode="0" sourceLinked="0"/>
        <c:minorTickMark val="in"/>
        <c:tickLblPos val="nextTo"/>
        <c:crossAx val="157346048"/>
        <c:crossesAt val="0"/>
        <c:crossBetween val="midCat"/>
      </c:valAx>
      <c:spPr>
        <a:ln>
          <a:solidFill>
            <a:schemeClr val="bg1">
              <a:lumMod val="50000"/>
            </a:schemeClr>
          </a:solidFill>
        </a:ln>
      </c:spPr>
    </c:plotArea>
    <c:plotVisOnly val="1"/>
  </c:chart>
  <c:printSettings>
    <c:headerFooter/>
    <c:pageMargins b="0.75000000000000488" l="0.70000000000000062" r="0.70000000000000062" t="0.75000000000000488" header="0.30000000000000032" footer="0.30000000000000032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SensArea!$W$16</c:f>
          <c:strCache>
            <c:ptCount val="1"/>
            <c:pt idx="0">
              <c:v>Model Geometry &amp; Well Location_x000d_Area: 13Acres</c:v>
            </c:pt>
          </c:strCache>
        </c:strRef>
      </c:tx>
      <c:txPr>
        <a:bodyPr/>
        <a:lstStyle/>
        <a:p>
          <a:pPr>
            <a:defRPr sz="1000">
              <a:solidFill>
                <a:srgbClr val="FF0000"/>
              </a:solidFill>
            </a:defRPr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v>Res Geometry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SensSkin!$W$9:$W$13</c:f>
              <c:numCache>
                <c:formatCode>General</c:formatCode>
                <c:ptCount val="5"/>
                <c:pt idx="0">
                  <c:v>0</c:v>
                </c:pt>
                <c:pt idx="1">
                  <c:v>2640</c:v>
                </c:pt>
                <c:pt idx="2">
                  <c:v>2640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SensSkin!$X$9:$X$13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1320</c:v>
                </c:pt>
                <c:pt idx="3">
                  <c:v>1320</c:v>
                </c:pt>
                <c:pt idx="4">
                  <c:v>0</c:v>
                </c:pt>
              </c:numCache>
            </c:numRef>
          </c:yVal>
        </c:ser>
        <c:ser>
          <c:idx val="1"/>
          <c:order val="1"/>
          <c:tx>
            <c:v>Well Location</c:v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rgbClr val="00FF00"/>
              </a:solidFill>
              <a:ln>
                <a:noFill/>
              </a:ln>
            </c:spPr>
          </c:marker>
          <c:xVal>
            <c:numRef>
              <c:f>SensSkin!$Y$9</c:f>
              <c:numCache>
                <c:formatCode>General</c:formatCode>
                <c:ptCount val="1"/>
                <c:pt idx="0">
                  <c:v>1320</c:v>
                </c:pt>
              </c:numCache>
            </c:numRef>
          </c:xVal>
          <c:yVal>
            <c:numRef>
              <c:f>SensSkin!$Z$9</c:f>
              <c:numCache>
                <c:formatCode>General</c:formatCode>
                <c:ptCount val="1"/>
                <c:pt idx="0">
                  <c:v>660</c:v>
                </c:pt>
              </c:numCache>
            </c:numRef>
          </c:yVal>
        </c:ser>
        <c:ser>
          <c:idx val="2"/>
          <c:order val="2"/>
          <c:tx>
            <c:v>Fracture Geometry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SensSkin!$AA$9:$AA$10</c:f>
              <c:numCache>
                <c:formatCode>General</c:formatCode>
                <c:ptCount val="2"/>
                <c:pt idx="0">
                  <c:v>1319.672</c:v>
                </c:pt>
                <c:pt idx="1">
                  <c:v>1320.328</c:v>
                </c:pt>
              </c:numCache>
            </c:numRef>
          </c:xVal>
          <c:yVal>
            <c:numRef>
              <c:f>SensSkin!$AB$9:$AB$10</c:f>
              <c:numCache>
                <c:formatCode>General</c:formatCode>
                <c:ptCount val="2"/>
                <c:pt idx="0">
                  <c:v>660</c:v>
                </c:pt>
                <c:pt idx="1">
                  <c:v>660</c:v>
                </c:pt>
              </c:numCache>
            </c:numRef>
          </c:yVal>
        </c:ser>
        <c:axId val="157233152"/>
        <c:axId val="157234688"/>
      </c:scatterChart>
      <c:valAx>
        <c:axId val="157233152"/>
        <c:scaling>
          <c:orientation val="minMax"/>
          <c:max val="3000"/>
        </c:scaling>
        <c:axPos val="b"/>
        <c:numFmt formatCode="General" sourceLinked="1"/>
        <c:tickLblPos val="nextTo"/>
        <c:crossAx val="157234688"/>
        <c:crosses val="autoZero"/>
        <c:crossBetween val="midCat"/>
      </c:valAx>
      <c:valAx>
        <c:axId val="157234688"/>
        <c:scaling>
          <c:orientation val="minMax"/>
          <c:max val="3000"/>
          <c:min val="0"/>
        </c:scaling>
        <c:axPos val="l"/>
        <c:numFmt formatCode="General" sourceLinked="1"/>
        <c:tickLblPos val="nextTo"/>
        <c:crossAx val="157233152"/>
        <c:crosses val="autoZero"/>
        <c:crossBetween val="midCat"/>
      </c:valAx>
    </c:plotArea>
    <c:plotVisOnly val="1"/>
  </c:chart>
  <c:spPr>
    <a:ln>
      <a:noFill/>
    </a:ln>
  </c:spPr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Sheet1!$C$26:$C$61</c:f>
              <c:numCache>
                <c:formatCode>General</c:formatCode>
                <c:ptCount val="36"/>
                <c:pt idx="0">
                  <c:v>0.99976976799815664</c:v>
                </c:pt>
                <c:pt idx="1">
                  <c:v>1.0962257517731093</c:v>
                </c:pt>
                <c:pt idx="2">
                  <c:v>1.2019876348698859</c:v>
                </c:pt>
                <c:pt idx="3">
                  <c:v>1.3179532336685458</c:v>
                </c:pt>
                <c:pt idx="4">
                  <c:v>1.4451069842539648</c:v>
                </c:pt>
                <c:pt idx="5">
                  <c:v>1.5845282993287053</c:v>
                </c:pt>
                <c:pt idx="6">
                  <c:v>1.7374007313857676</c:v>
                </c:pt>
                <c:pt idx="7">
                  <c:v>1.9050220199277168</c:v>
                </c:pt>
                <c:pt idx="8">
                  <c:v>2.0888151080233897</c:v>
                </c:pt>
                <c:pt idx="9">
                  <c:v>2.290340221722118</c:v>
                </c:pt>
                <c:pt idx="10">
                  <c:v>2.5113081148680503</c:v>
                </c:pt>
                <c:pt idx="11">
                  <c:v>2.7535945917502622</c:v>
                </c:pt>
                <c:pt idx="12">
                  <c:v>3.0192564308719576</c:v>
                </c:pt>
                <c:pt idx="13">
                  <c:v>3.3105488450161946</c:v>
                </c:pt>
                <c:pt idx="14">
                  <c:v>3.6299446258272616</c:v>
                </c:pt>
                <c:pt idx="15">
                  <c:v>3.9801551354267257</c:v>
                </c:pt>
                <c:pt idx="16">
                  <c:v>4.3641533232627312</c:v>
                </c:pt>
                <c:pt idx="17">
                  <c:v>4.7851989635834054</c:v>
                </c:pt>
                <c:pt idx="18">
                  <c:v>5.2468663277761713</c:v>
                </c:pt>
                <c:pt idx="19">
                  <c:v>5.7530745264844336</c:v>
                </c:pt>
                <c:pt idx="20">
                  <c:v>6.3081207790769609</c:v>
                </c:pt>
                <c:pt idx="21">
                  <c:v>6.9167168928956491</c:v>
                </c:pt>
                <c:pt idx="22">
                  <c:v>7.5840292619553189</c:v>
                </c:pt>
                <c:pt idx="23">
                  <c:v>8.3157227246458998</c:v>
                </c:pt>
                <c:pt idx="24">
                  <c:v>9.118008652746628</c:v>
                </c:pt>
                <c:pt idx="25">
                  <c:v>9.9976976799815755</c:v>
                </c:pt>
                <c:pt idx="26">
                  <c:v>10.9622575177311</c:v>
                </c:pt>
                <c:pt idx="27">
                  <c:v>12.019876348698867</c:v>
                </c:pt>
                <c:pt idx="28">
                  <c:v>13.179532336685472</c:v>
                </c:pt>
                <c:pt idx="29">
                  <c:v>14.451069842539665</c:v>
                </c:pt>
                <c:pt idx="30">
                  <c:v>15.845282993287073</c:v>
                </c:pt>
                <c:pt idx="31">
                  <c:v>17.3740073138577</c:v>
                </c:pt>
                <c:pt idx="32">
                  <c:v>19.050220199277192</c:v>
                </c:pt>
                <c:pt idx="33">
                  <c:v>20.888151080233925</c:v>
                </c:pt>
                <c:pt idx="34">
                  <c:v>22.903402217221217</c:v>
                </c:pt>
                <c:pt idx="35">
                  <c:v>25.113081148680546</c:v>
                </c:pt>
              </c:numCache>
            </c:numRef>
          </c:xVal>
          <c:yVal>
            <c:numRef>
              <c:f>Sheet1!$D$26:$D$61</c:f>
              <c:numCache>
                <c:formatCode>General</c:formatCode>
                <c:ptCount val="36"/>
                <c:pt idx="0">
                  <c:v>0.62487492797599997</c:v>
                </c:pt>
                <c:pt idx="1">
                  <c:v>0.62494411237000003</c:v>
                </c:pt>
                <c:pt idx="2">
                  <c:v>0.62497689431600001</c:v>
                </c:pt>
                <c:pt idx="3">
                  <c:v>0.62499122770500004</c:v>
                </c:pt>
                <c:pt idx="4">
                  <c:v>0.62499696660899995</c:v>
                </c:pt>
                <c:pt idx="5">
                  <c:v>0.62499905322000004</c:v>
                </c:pt>
                <c:pt idx="6">
                  <c:v>0.624999735891</c:v>
                </c:pt>
                <c:pt idx="7">
                  <c:v>0.62499993486399996</c:v>
                </c:pt>
                <c:pt idx="8">
                  <c:v>0.62499998596600004</c:v>
                </c:pt>
                <c:pt idx="9">
                  <c:v>0.62499999739300005</c:v>
                </c:pt>
                <c:pt idx="10">
                  <c:v>0.62499999958899999</c:v>
                </c:pt>
                <c:pt idx="11">
                  <c:v>0.62499999994599997</c:v>
                </c:pt>
                <c:pt idx="12">
                  <c:v>0.624999999995</c:v>
                </c:pt>
                <c:pt idx="13">
                  <c:v>0.625</c:v>
                </c:pt>
                <c:pt idx="14">
                  <c:v>0.62500000000099998</c:v>
                </c:pt>
                <c:pt idx="15">
                  <c:v>0.62500000000099998</c:v>
                </c:pt>
                <c:pt idx="16">
                  <c:v>0.62500000000099998</c:v>
                </c:pt>
                <c:pt idx="17">
                  <c:v>0.62500000000099998</c:v>
                </c:pt>
                <c:pt idx="18">
                  <c:v>0.62500000000099998</c:v>
                </c:pt>
                <c:pt idx="19">
                  <c:v>0.62500000000099998</c:v>
                </c:pt>
                <c:pt idx="20">
                  <c:v>0.62500000000099998</c:v>
                </c:pt>
                <c:pt idx="21">
                  <c:v>0.62500000000099998</c:v>
                </c:pt>
                <c:pt idx="22">
                  <c:v>0.62500000000099998</c:v>
                </c:pt>
                <c:pt idx="23">
                  <c:v>0.62500000000099998</c:v>
                </c:pt>
                <c:pt idx="24">
                  <c:v>0.62500000000099998</c:v>
                </c:pt>
                <c:pt idx="25">
                  <c:v>0.62500000000099998</c:v>
                </c:pt>
                <c:pt idx="26">
                  <c:v>0.62500000000099998</c:v>
                </c:pt>
                <c:pt idx="27">
                  <c:v>0.62500000000099998</c:v>
                </c:pt>
                <c:pt idx="28">
                  <c:v>0.62500000000099998</c:v>
                </c:pt>
                <c:pt idx="29">
                  <c:v>0.62500000000099998</c:v>
                </c:pt>
                <c:pt idx="30">
                  <c:v>0.62500000000099998</c:v>
                </c:pt>
                <c:pt idx="31">
                  <c:v>0.62500000000099998</c:v>
                </c:pt>
                <c:pt idx="32">
                  <c:v>0.62500000000099998</c:v>
                </c:pt>
                <c:pt idx="33">
                  <c:v>0.62500000000099998</c:v>
                </c:pt>
                <c:pt idx="34">
                  <c:v>0.62500000000099998</c:v>
                </c:pt>
                <c:pt idx="35">
                  <c:v>0.62500000000099998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Sheet1!$C$26:$C$61</c:f>
              <c:numCache>
                <c:formatCode>General</c:formatCode>
                <c:ptCount val="36"/>
                <c:pt idx="0">
                  <c:v>0.99976976799815664</c:v>
                </c:pt>
                <c:pt idx="1">
                  <c:v>1.0962257517731093</c:v>
                </c:pt>
                <c:pt idx="2">
                  <c:v>1.2019876348698859</c:v>
                </c:pt>
                <c:pt idx="3">
                  <c:v>1.3179532336685458</c:v>
                </c:pt>
                <c:pt idx="4">
                  <c:v>1.4451069842539648</c:v>
                </c:pt>
                <c:pt idx="5">
                  <c:v>1.5845282993287053</c:v>
                </c:pt>
                <c:pt idx="6">
                  <c:v>1.7374007313857676</c:v>
                </c:pt>
                <c:pt idx="7">
                  <c:v>1.9050220199277168</c:v>
                </c:pt>
                <c:pt idx="8">
                  <c:v>2.0888151080233897</c:v>
                </c:pt>
                <c:pt idx="9">
                  <c:v>2.290340221722118</c:v>
                </c:pt>
                <c:pt idx="10">
                  <c:v>2.5113081148680503</c:v>
                </c:pt>
                <c:pt idx="11">
                  <c:v>2.7535945917502622</c:v>
                </c:pt>
                <c:pt idx="12">
                  <c:v>3.0192564308719576</c:v>
                </c:pt>
                <c:pt idx="13">
                  <c:v>3.3105488450161946</c:v>
                </c:pt>
                <c:pt idx="14">
                  <c:v>3.6299446258272616</c:v>
                </c:pt>
                <c:pt idx="15">
                  <c:v>3.9801551354267257</c:v>
                </c:pt>
                <c:pt idx="16">
                  <c:v>4.3641533232627312</c:v>
                </c:pt>
                <c:pt idx="17">
                  <c:v>4.7851989635834054</c:v>
                </c:pt>
                <c:pt idx="18">
                  <c:v>5.2468663277761713</c:v>
                </c:pt>
                <c:pt idx="19">
                  <c:v>5.7530745264844336</c:v>
                </c:pt>
                <c:pt idx="20">
                  <c:v>6.3081207790769609</c:v>
                </c:pt>
                <c:pt idx="21">
                  <c:v>6.9167168928956491</c:v>
                </c:pt>
                <c:pt idx="22">
                  <c:v>7.5840292619553189</c:v>
                </c:pt>
                <c:pt idx="23">
                  <c:v>8.3157227246458998</c:v>
                </c:pt>
                <c:pt idx="24">
                  <c:v>9.118008652746628</c:v>
                </c:pt>
                <c:pt idx="25">
                  <c:v>9.9976976799815755</c:v>
                </c:pt>
                <c:pt idx="26">
                  <c:v>10.9622575177311</c:v>
                </c:pt>
                <c:pt idx="27">
                  <c:v>12.019876348698867</c:v>
                </c:pt>
                <c:pt idx="28">
                  <c:v>13.179532336685472</c:v>
                </c:pt>
                <c:pt idx="29">
                  <c:v>14.451069842539665</c:v>
                </c:pt>
                <c:pt idx="30">
                  <c:v>15.845282993287073</c:v>
                </c:pt>
                <c:pt idx="31">
                  <c:v>17.3740073138577</c:v>
                </c:pt>
                <c:pt idx="32">
                  <c:v>19.050220199277192</c:v>
                </c:pt>
                <c:pt idx="33">
                  <c:v>20.888151080233925</c:v>
                </c:pt>
                <c:pt idx="34">
                  <c:v>22.903402217221217</c:v>
                </c:pt>
                <c:pt idx="35">
                  <c:v>25.113081148680546</c:v>
                </c:pt>
              </c:numCache>
            </c:numRef>
          </c:xVal>
          <c:yVal>
            <c:numRef>
              <c:f>Sheet1!$E$26:$E$61</c:f>
              <c:numCache>
                <c:formatCode>General</c:formatCode>
                <c:ptCount val="36"/>
                <c:pt idx="0">
                  <c:v>1.295018677229</c:v>
                </c:pt>
                <c:pt idx="1">
                  <c:v>1.328546881886</c:v>
                </c:pt>
                <c:pt idx="2">
                  <c:v>1.359041010945</c:v>
                </c:pt>
                <c:pt idx="3">
                  <c:v>1.3862806306869999</c:v>
                </c:pt>
                <c:pt idx="4">
                  <c:v>1.410137455296</c:v>
                </c:pt>
                <c:pt idx="5">
                  <c:v>1.430584327646</c:v>
                </c:pt>
                <c:pt idx="6">
                  <c:v>1.4476979023250001</c:v>
                </c:pt>
                <c:pt idx="7">
                  <c:v>1.4616540234269999</c:v>
                </c:pt>
                <c:pt idx="8">
                  <c:v>1.472715543698</c:v>
                </c:pt>
                <c:pt idx="9">
                  <c:v>1.481213282968</c:v>
                </c:pt>
                <c:pt idx="10">
                  <c:v>1.487521832758</c:v>
                </c:pt>
                <c:pt idx="11">
                  <c:v>1.492032785206</c:v>
                </c:pt>
                <c:pt idx="12">
                  <c:v>1.4951284852119999</c:v>
                </c:pt>
                <c:pt idx="13">
                  <c:v>1.497159402624</c:v>
                </c:pt>
                <c:pt idx="14">
                  <c:v>1.498427629449</c:v>
                </c:pt>
                <c:pt idx="15">
                  <c:v>1.499177910247</c:v>
                </c:pt>
                <c:pt idx="16">
                  <c:v>1.499596250622</c:v>
                </c:pt>
                <c:pt idx="17">
                  <c:v>1.4998148552849999</c:v>
                </c:pt>
                <c:pt idx="18">
                  <c:v>1.499921251335</c:v>
                </c:pt>
                <c:pt idx="19">
                  <c:v>1.499969157058</c:v>
                </c:pt>
                <c:pt idx="20">
                  <c:v>1.4999889644669999</c:v>
                </c:pt>
                <c:pt idx="21">
                  <c:v>1.4999964242549999</c:v>
                </c:pt>
                <c:pt idx="22">
                  <c:v>1.4999989607490001</c:v>
                </c:pt>
                <c:pt idx="23">
                  <c:v>1.4999997318989999</c:v>
                </c:pt>
                <c:pt idx="24">
                  <c:v>1.499999939312</c:v>
                </c:pt>
                <c:pt idx="25">
                  <c:v>1.4999999880979999</c:v>
                </c:pt>
                <c:pt idx="26">
                  <c:v>1.4999999980059999</c:v>
                </c:pt>
                <c:pt idx="27">
                  <c:v>1.49999999972</c:v>
                </c:pt>
                <c:pt idx="28">
                  <c:v>1.4999999999689999</c:v>
                </c:pt>
                <c:pt idx="29">
                  <c:v>1.499999999998</c:v>
                </c:pt>
                <c:pt idx="30">
                  <c:v>1.5000000000010001</c:v>
                </c:pt>
                <c:pt idx="31">
                  <c:v>1.5000000000010001</c:v>
                </c:pt>
                <c:pt idx="32">
                  <c:v>1.5000000000010001</c:v>
                </c:pt>
                <c:pt idx="33">
                  <c:v>1.5000000000010001</c:v>
                </c:pt>
                <c:pt idx="34">
                  <c:v>1.500000000002</c:v>
                </c:pt>
                <c:pt idx="35">
                  <c:v>1.5000000000010001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xVal>
            <c:numRef>
              <c:f>Sheet1!$C$26:$C$61</c:f>
              <c:numCache>
                <c:formatCode>General</c:formatCode>
                <c:ptCount val="36"/>
                <c:pt idx="0">
                  <c:v>0.99976976799815664</c:v>
                </c:pt>
                <c:pt idx="1">
                  <c:v>1.0962257517731093</c:v>
                </c:pt>
                <c:pt idx="2">
                  <c:v>1.2019876348698859</c:v>
                </c:pt>
                <c:pt idx="3">
                  <c:v>1.3179532336685458</c:v>
                </c:pt>
                <c:pt idx="4">
                  <c:v>1.4451069842539648</c:v>
                </c:pt>
                <c:pt idx="5">
                  <c:v>1.5845282993287053</c:v>
                </c:pt>
                <c:pt idx="6">
                  <c:v>1.7374007313857676</c:v>
                </c:pt>
                <c:pt idx="7">
                  <c:v>1.9050220199277168</c:v>
                </c:pt>
                <c:pt idx="8">
                  <c:v>2.0888151080233897</c:v>
                </c:pt>
                <c:pt idx="9">
                  <c:v>2.290340221722118</c:v>
                </c:pt>
                <c:pt idx="10">
                  <c:v>2.5113081148680503</c:v>
                </c:pt>
                <c:pt idx="11">
                  <c:v>2.7535945917502622</c:v>
                </c:pt>
                <c:pt idx="12">
                  <c:v>3.0192564308719576</c:v>
                </c:pt>
                <c:pt idx="13">
                  <c:v>3.3105488450161946</c:v>
                </c:pt>
                <c:pt idx="14">
                  <c:v>3.6299446258272616</c:v>
                </c:pt>
                <c:pt idx="15">
                  <c:v>3.9801551354267257</c:v>
                </c:pt>
                <c:pt idx="16">
                  <c:v>4.3641533232627312</c:v>
                </c:pt>
                <c:pt idx="17">
                  <c:v>4.7851989635834054</c:v>
                </c:pt>
                <c:pt idx="18">
                  <c:v>5.2468663277761713</c:v>
                </c:pt>
                <c:pt idx="19">
                  <c:v>5.7530745264844336</c:v>
                </c:pt>
                <c:pt idx="20">
                  <c:v>6.3081207790769609</c:v>
                </c:pt>
                <c:pt idx="21">
                  <c:v>6.9167168928956491</c:v>
                </c:pt>
                <c:pt idx="22">
                  <c:v>7.5840292619553189</c:v>
                </c:pt>
                <c:pt idx="23">
                  <c:v>8.3157227246458998</c:v>
                </c:pt>
                <c:pt idx="24">
                  <c:v>9.118008652746628</c:v>
                </c:pt>
                <c:pt idx="25">
                  <c:v>9.9976976799815755</c:v>
                </c:pt>
                <c:pt idx="26">
                  <c:v>10.9622575177311</c:v>
                </c:pt>
                <c:pt idx="27">
                  <c:v>12.019876348698867</c:v>
                </c:pt>
                <c:pt idx="28">
                  <c:v>13.179532336685472</c:v>
                </c:pt>
                <c:pt idx="29">
                  <c:v>14.451069842539665</c:v>
                </c:pt>
                <c:pt idx="30">
                  <c:v>15.845282993287073</c:v>
                </c:pt>
                <c:pt idx="31">
                  <c:v>17.3740073138577</c:v>
                </c:pt>
                <c:pt idx="32">
                  <c:v>19.050220199277192</c:v>
                </c:pt>
                <c:pt idx="33">
                  <c:v>20.888151080233925</c:v>
                </c:pt>
                <c:pt idx="34">
                  <c:v>22.903402217221217</c:v>
                </c:pt>
                <c:pt idx="35">
                  <c:v>25.113081148680546</c:v>
                </c:pt>
              </c:numCache>
            </c:numRef>
          </c:xVal>
          <c:yVal>
            <c:numRef>
              <c:f>Sheet1!$F$26:$F$61</c:f>
              <c:numCache>
                <c:formatCode>General</c:formatCode>
                <c:ptCount val="36"/>
                <c:pt idx="0">
                  <c:v>1.52437491143</c:v>
                </c:pt>
                <c:pt idx="1">
                  <c:v>1.60119582979</c:v>
                </c:pt>
                <c:pt idx="2">
                  <c:v>1.6792761435979999</c:v>
                </c:pt>
                <c:pt idx="3">
                  <c:v>1.758060838427</c:v>
                </c:pt>
                <c:pt idx="4">
                  <c:v>1.836922925351</c:v>
                </c:pt>
                <c:pt idx="5">
                  <c:v>1.915172568866</c:v>
                </c:pt>
                <c:pt idx="6">
                  <c:v>1.992070606093</c:v>
                </c:pt>
                <c:pt idx="7">
                  <c:v>2.0668468333479999</c:v>
                </c:pt>
                <c:pt idx="8">
                  <c:v>2.1387231048770001</c:v>
                </c:pt>
                <c:pt idx="9">
                  <c:v>2.2069408319789998</c:v>
                </c:pt>
                <c:pt idx="10">
                  <c:v>2.2707919128279999</c:v>
                </c:pt>
                <c:pt idx="11">
                  <c:v>2.3296515048619999</c:v>
                </c:pt>
                <c:pt idx="12">
                  <c:v>2.3830104372030001</c:v>
                </c:pt>
                <c:pt idx="13">
                  <c:v>2.4305045414620001</c:v>
                </c:pt>
                <c:pt idx="14">
                  <c:v>2.471937870179</c:v>
                </c:pt>
                <c:pt idx="15">
                  <c:v>2.507296796671</c:v>
                </c:pt>
                <c:pt idx="16">
                  <c:v>2.536752455212</c:v>
                </c:pt>
                <c:pt idx="17">
                  <c:v>2.5606499420660001</c:v>
                </c:pt>
                <c:pt idx="18">
                  <c:v>2.5794841232649999</c:v>
                </c:pt>
                <c:pt idx="19">
                  <c:v>2.5938636349699999</c:v>
                </c:pt>
                <c:pt idx="20">
                  <c:v>2.6044664455020001</c:v>
                </c:pt>
                <c:pt idx="21">
                  <c:v>2.6119918139960001</c:v>
                </c:pt>
                <c:pt idx="22">
                  <c:v>2.6171142538969998</c:v>
                </c:pt>
                <c:pt idx="23">
                  <c:v>2.620444909653</c:v>
                </c:pt>
                <c:pt idx="24">
                  <c:v>2.6225045088829999</c:v>
                </c:pt>
                <c:pt idx="25">
                  <c:v>2.6237099654090001</c:v>
                </c:pt>
                <c:pt idx="26">
                  <c:v>2.6243742506530001</c:v>
                </c:pt>
                <c:pt idx="27">
                  <c:v>2.6247169351699999</c:v>
                </c:pt>
                <c:pt idx="28">
                  <c:v>2.6248813867299998</c:v>
                </c:pt>
                <c:pt idx="29">
                  <c:v>2.6249542979429998</c:v>
                </c:pt>
                <c:pt idx="30">
                  <c:v>2.6249839388309999</c:v>
                </c:pt>
                <c:pt idx="31">
                  <c:v>2.6249948972760002</c:v>
                </c:pt>
                <c:pt idx="32">
                  <c:v>2.6249985486140002</c:v>
                </c:pt>
                <c:pt idx="33">
                  <c:v>2.6249996343349999</c:v>
                </c:pt>
                <c:pt idx="34">
                  <c:v>2.6249999193479998</c:v>
                </c:pt>
                <c:pt idx="35">
                  <c:v>2.6249999846269998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Sheet1!$C$26:$C$61</c:f>
              <c:numCache>
                <c:formatCode>General</c:formatCode>
                <c:ptCount val="36"/>
                <c:pt idx="0">
                  <c:v>0.99976976799815664</c:v>
                </c:pt>
                <c:pt idx="1">
                  <c:v>1.0962257517731093</c:v>
                </c:pt>
                <c:pt idx="2">
                  <c:v>1.2019876348698859</c:v>
                </c:pt>
                <c:pt idx="3">
                  <c:v>1.3179532336685458</c:v>
                </c:pt>
                <c:pt idx="4">
                  <c:v>1.4451069842539648</c:v>
                </c:pt>
                <c:pt idx="5">
                  <c:v>1.5845282993287053</c:v>
                </c:pt>
                <c:pt idx="6">
                  <c:v>1.7374007313857676</c:v>
                </c:pt>
                <c:pt idx="7">
                  <c:v>1.9050220199277168</c:v>
                </c:pt>
                <c:pt idx="8">
                  <c:v>2.0888151080233897</c:v>
                </c:pt>
                <c:pt idx="9">
                  <c:v>2.290340221722118</c:v>
                </c:pt>
                <c:pt idx="10">
                  <c:v>2.5113081148680503</c:v>
                </c:pt>
                <c:pt idx="11">
                  <c:v>2.7535945917502622</c:v>
                </c:pt>
                <c:pt idx="12">
                  <c:v>3.0192564308719576</c:v>
                </c:pt>
                <c:pt idx="13">
                  <c:v>3.3105488450161946</c:v>
                </c:pt>
                <c:pt idx="14">
                  <c:v>3.6299446258272616</c:v>
                </c:pt>
                <c:pt idx="15">
                  <c:v>3.9801551354267257</c:v>
                </c:pt>
                <c:pt idx="16">
                  <c:v>4.3641533232627312</c:v>
                </c:pt>
                <c:pt idx="17">
                  <c:v>4.7851989635834054</c:v>
                </c:pt>
                <c:pt idx="18">
                  <c:v>5.2468663277761713</c:v>
                </c:pt>
                <c:pt idx="19">
                  <c:v>5.7530745264844336</c:v>
                </c:pt>
                <c:pt idx="20">
                  <c:v>6.3081207790769609</c:v>
                </c:pt>
                <c:pt idx="21">
                  <c:v>6.9167168928956491</c:v>
                </c:pt>
                <c:pt idx="22">
                  <c:v>7.5840292619553189</c:v>
                </c:pt>
                <c:pt idx="23">
                  <c:v>8.3157227246458998</c:v>
                </c:pt>
                <c:pt idx="24">
                  <c:v>9.118008652746628</c:v>
                </c:pt>
                <c:pt idx="25">
                  <c:v>9.9976976799815755</c:v>
                </c:pt>
                <c:pt idx="26">
                  <c:v>10.9622575177311</c:v>
                </c:pt>
                <c:pt idx="27">
                  <c:v>12.019876348698867</c:v>
                </c:pt>
                <c:pt idx="28">
                  <c:v>13.179532336685472</c:v>
                </c:pt>
                <c:pt idx="29">
                  <c:v>14.451069842539665</c:v>
                </c:pt>
                <c:pt idx="30">
                  <c:v>15.845282993287073</c:v>
                </c:pt>
                <c:pt idx="31">
                  <c:v>17.3740073138577</c:v>
                </c:pt>
                <c:pt idx="32">
                  <c:v>19.050220199277192</c:v>
                </c:pt>
                <c:pt idx="33">
                  <c:v>20.888151080233925</c:v>
                </c:pt>
                <c:pt idx="34">
                  <c:v>22.903402217221217</c:v>
                </c:pt>
                <c:pt idx="35">
                  <c:v>25.113081148680546</c:v>
                </c:pt>
              </c:numCache>
            </c:numRef>
          </c:xVal>
          <c:yVal>
            <c:numRef>
              <c:f>Sheet1!$G$26:$G$61</c:f>
              <c:numCache>
                <c:formatCode>General</c:formatCode>
                <c:ptCount val="36"/>
                <c:pt idx="0">
                  <c:v>1.563378859283</c:v>
                </c:pt>
                <c:pt idx="1">
                  <c:v>1.6540008518230001</c:v>
                </c:pt>
                <c:pt idx="2">
                  <c:v>1.7493515053569999</c:v>
                </c:pt>
                <c:pt idx="3">
                  <c:v>1.8493535162670001</c:v>
                </c:pt>
                <c:pt idx="4">
                  <c:v>1.953839306046</c:v>
                </c:pt>
                <c:pt idx="5">
                  <c:v>2.0625408903519999</c:v>
                </c:pt>
                <c:pt idx="6">
                  <c:v>2.1750813203820001</c:v>
                </c:pt>
                <c:pt idx="7">
                  <c:v>2.290968021386</c:v>
                </c:pt>
                <c:pt idx="8">
                  <c:v>2.4095884842699999</c:v>
                </c:pt>
                <c:pt idx="9">
                  <c:v>2.5302089653339999</c:v>
                </c:pt>
                <c:pt idx="10">
                  <c:v>2.6519770589639999</c:v>
                </c:pt>
                <c:pt idx="11">
                  <c:v>2.7739291593519999</c:v>
                </c:pt>
                <c:pt idx="12">
                  <c:v>2.895003857232</c:v>
                </c:pt>
                <c:pt idx="13">
                  <c:v>3.0140621830400001</c:v>
                </c:pt>
                <c:pt idx="14">
                  <c:v>3.1299152870659999</c:v>
                </c:pt>
                <c:pt idx="15">
                  <c:v>3.2413596355709999</c:v>
                </c:pt>
                <c:pt idx="16">
                  <c:v>3.3472191092369998</c:v>
                </c:pt>
                <c:pt idx="17">
                  <c:v>3.4463925439969998</c:v>
                </c:pt>
                <c:pt idx="18">
                  <c:v>3.5379043097720002</c:v>
                </c:pt>
                <c:pt idx="19">
                  <c:v>3.6209545740309999</c:v>
                </c:pt>
                <c:pt idx="20">
                  <c:v>3.6949650832500001</c:v>
                </c:pt>
                <c:pt idx="21">
                  <c:v>3.7596157926189999</c:v>
                </c:pt>
                <c:pt idx="22">
                  <c:v>3.8148676749820001</c:v>
                </c:pt>
                <c:pt idx="23">
                  <c:v>3.8609677130129998</c:v>
                </c:pt>
                <c:pt idx="24">
                  <c:v>3.898433517065</c:v>
                </c:pt>
                <c:pt idx="25">
                  <c:v>3.9280171748799999</c:v>
                </c:pt>
                <c:pt idx="26">
                  <c:v>3.9506506094199998</c:v>
                </c:pt>
                <c:pt idx="27">
                  <c:v>3.9673774894320002</c:v>
                </c:pt>
                <c:pt idx="28">
                  <c:v>3.979279052006</c:v>
                </c:pt>
                <c:pt idx="29">
                  <c:v>3.9874024741029999</c:v>
                </c:pt>
                <c:pt idx="30">
                  <c:v>3.9927002227099999</c:v>
                </c:pt>
                <c:pt idx="31">
                  <c:v>3.995986983201</c:v>
                </c:pt>
                <c:pt idx="32">
                  <c:v>3.997917602747</c:v>
                </c:pt>
                <c:pt idx="33">
                  <c:v>3.9989856943730002</c:v>
                </c:pt>
                <c:pt idx="34">
                  <c:v>3.9995390701810001</c:v>
                </c:pt>
                <c:pt idx="35">
                  <c:v>3.9998058874089999</c:v>
                </c:pt>
              </c:numCache>
            </c:numRef>
          </c:yVal>
          <c:smooth val="1"/>
        </c:ser>
        <c:axId val="157278976"/>
        <c:axId val="157280512"/>
      </c:scatterChart>
      <c:valAx>
        <c:axId val="157278976"/>
        <c:scaling>
          <c:orientation val="minMax"/>
        </c:scaling>
        <c:axPos val="b"/>
        <c:numFmt formatCode="General" sourceLinked="1"/>
        <c:tickLblPos val="nextTo"/>
        <c:crossAx val="157280512"/>
        <c:crosses val="autoZero"/>
        <c:crossBetween val="midCat"/>
      </c:valAx>
      <c:valAx>
        <c:axId val="157280512"/>
        <c:scaling>
          <c:orientation val="minMax"/>
        </c:scaling>
        <c:axPos val="l"/>
        <c:majorGridlines/>
        <c:numFmt formatCode="General" sourceLinked="1"/>
        <c:tickLblPos val="nextTo"/>
        <c:crossAx val="15727897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emf"/><Relationship Id="rId1" Type="http://schemas.openxmlformats.org/officeDocument/2006/relationships/chart" Target="../charts/chart6.xml"/><Relationship Id="rId5" Type="http://schemas.openxmlformats.org/officeDocument/2006/relationships/chart" Target="../charts/chart7.xml"/><Relationship Id="rId4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220084</xdr:colOff>
      <xdr:row>6</xdr:row>
      <xdr:rowOff>24205</xdr:rowOff>
    </xdr:from>
    <xdr:to>
      <xdr:col>18</xdr:col>
      <xdr:colOff>479488</xdr:colOff>
      <xdr:row>21</xdr:row>
      <xdr:rowOff>89056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292074</xdr:colOff>
      <xdr:row>6</xdr:row>
      <xdr:rowOff>172209</xdr:rowOff>
    </xdr:from>
    <xdr:to>
      <xdr:col>18</xdr:col>
      <xdr:colOff>236436</xdr:colOff>
      <xdr:row>9</xdr:row>
      <xdr:rowOff>160020</xdr:rowOff>
    </xdr:to>
    <xdr:sp macro="" textlink="">
      <xdr:nvSpPr>
        <xdr:cNvPr id="3" name="TextBox 2"/>
        <xdr:cNvSpPr txBox="1"/>
      </xdr:nvSpPr>
      <xdr:spPr>
        <a:xfrm>
          <a:off x="11584914" y="1269489"/>
          <a:ext cx="2992362" cy="5364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r"/>
          <a:r>
            <a:rPr lang="en-US" sz="800" b="1"/>
            <a:t>Increasing</a:t>
          </a:r>
          <a:r>
            <a:rPr lang="en-US" sz="800" b="1" baseline="0"/>
            <a:t> Xe/Ye ratio</a:t>
          </a:r>
          <a:br>
            <a:rPr lang="en-US" sz="800" b="1" baseline="0"/>
          </a:br>
          <a:r>
            <a:rPr lang="en-US" sz="800" baseline="0"/>
            <a:t>Narrower channels generate steeper declines at the begining. Model uses same drainage area thus EUR stays the same</a:t>
          </a:r>
          <a:br>
            <a:rPr lang="en-US" sz="800" baseline="0"/>
          </a:br>
          <a:endParaRPr lang="en-US" sz="800"/>
        </a:p>
      </xdr:txBody>
    </xdr:sp>
    <xdr:clientData/>
  </xdr:twoCellAnchor>
  <xdr:twoCellAnchor>
    <xdr:from>
      <xdr:col>14</xdr:col>
      <xdr:colOff>43546</xdr:colOff>
      <xdr:row>14</xdr:row>
      <xdr:rowOff>166780</xdr:rowOff>
    </xdr:from>
    <xdr:to>
      <xdr:col>14</xdr:col>
      <xdr:colOff>244622</xdr:colOff>
      <xdr:row>20</xdr:row>
      <xdr:rowOff>143558</xdr:rowOff>
    </xdr:to>
    <xdr:sp macro="" textlink="">
      <xdr:nvSpPr>
        <xdr:cNvPr id="6" name="TextBox 5"/>
        <xdr:cNvSpPr txBox="1"/>
      </xdr:nvSpPr>
      <xdr:spPr>
        <a:xfrm rot="2788100">
          <a:off x="11509495" y="3163591"/>
          <a:ext cx="1074058" cy="201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800"/>
            <a:t>Xe/Ye :1</a:t>
          </a:r>
        </a:p>
      </xdr:txBody>
    </xdr:sp>
    <xdr:clientData/>
  </xdr:twoCellAnchor>
  <xdr:twoCellAnchor>
    <xdr:from>
      <xdr:col>28</xdr:col>
      <xdr:colOff>385229</xdr:colOff>
      <xdr:row>3</xdr:row>
      <xdr:rowOff>33613</xdr:rowOff>
    </xdr:from>
    <xdr:to>
      <xdr:col>33</xdr:col>
      <xdr:colOff>426720</xdr:colOff>
      <xdr:row>19</xdr:row>
      <xdr:rowOff>78517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22</xdr:col>
      <xdr:colOff>103117</xdr:colOff>
      <xdr:row>20</xdr:row>
      <xdr:rowOff>127165</xdr:rowOff>
    </xdr:from>
    <xdr:to>
      <xdr:col>25</xdr:col>
      <xdr:colOff>65017</xdr:colOff>
      <xdr:row>27</xdr:row>
      <xdr:rowOff>134785</xdr:rowOff>
    </xdr:to>
    <xdr:pic>
      <xdr:nvPicPr>
        <xdr:cNvPr id="4100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6906701" y="3689762"/>
          <a:ext cx="1802576" cy="144255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25</xdr:col>
      <xdr:colOff>426720</xdr:colOff>
      <xdr:row>21</xdr:row>
      <xdr:rowOff>144780</xdr:rowOff>
    </xdr:from>
    <xdr:to>
      <xdr:col>29</xdr:col>
      <xdr:colOff>205740</xdr:colOff>
      <xdr:row>27</xdr:row>
      <xdr:rowOff>22860</xdr:rowOff>
    </xdr:to>
    <xdr:pic>
      <xdr:nvPicPr>
        <xdr:cNvPr id="410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9034760" y="3985260"/>
          <a:ext cx="2217420" cy="115824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29</xdr:col>
      <xdr:colOff>563880</xdr:colOff>
      <xdr:row>21</xdr:row>
      <xdr:rowOff>99060</xdr:rowOff>
    </xdr:from>
    <xdr:to>
      <xdr:col>34</xdr:col>
      <xdr:colOff>144780</xdr:colOff>
      <xdr:row>27</xdr:row>
      <xdr:rowOff>83820</xdr:rowOff>
    </xdr:to>
    <xdr:pic>
      <xdr:nvPicPr>
        <xdr:cNvPr id="4102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21610320" y="3939540"/>
          <a:ext cx="2628900" cy="126492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14</xdr:col>
      <xdr:colOff>20710</xdr:colOff>
      <xdr:row>17</xdr:row>
      <xdr:rowOff>78351</xdr:rowOff>
    </xdr:from>
    <xdr:to>
      <xdr:col>15</xdr:col>
      <xdr:colOff>485168</xdr:colOff>
      <xdr:row>18</xdr:row>
      <xdr:rowOff>96547</xdr:rowOff>
    </xdr:to>
    <xdr:sp macro="" textlink="">
      <xdr:nvSpPr>
        <xdr:cNvPr id="15" name="TextBox 14"/>
        <xdr:cNvSpPr txBox="1"/>
      </xdr:nvSpPr>
      <xdr:spPr>
        <a:xfrm rot="2532468">
          <a:off x="11923150" y="3187311"/>
          <a:ext cx="1074058" cy="201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800"/>
            <a:t>Xe/Ye :4</a:t>
          </a:r>
        </a:p>
      </xdr:txBody>
    </xdr:sp>
    <xdr:clientData/>
  </xdr:twoCellAnchor>
  <xdr:twoCellAnchor>
    <xdr:from>
      <xdr:col>14</xdr:col>
      <xdr:colOff>272170</xdr:colOff>
      <xdr:row>17</xdr:row>
      <xdr:rowOff>85971</xdr:rowOff>
    </xdr:from>
    <xdr:to>
      <xdr:col>16</xdr:col>
      <xdr:colOff>127028</xdr:colOff>
      <xdr:row>18</xdr:row>
      <xdr:rowOff>104167</xdr:rowOff>
    </xdr:to>
    <xdr:sp macro="" textlink="">
      <xdr:nvSpPr>
        <xdr:cNvPr id="16" name="TextBox 15"/>
        <xdr:cNvSpPr txBox="1"/>
      </xdr:nvSpPr>
      <xdr:spPr>
        <a:xfrm rot="2170933">
          <a:off x="12174610" y="3194931"/>
          <a:ext cx="1074058" cy="201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800"/>
            <a:t>Xe/Ye :8</a:t>
          </a:r>
        </a:p>
      </xdr:txBody>
    </xdr:sp>
    <xdr:clientData/>
  </xdr:twoCellAnchor>
  <xdr:twoCellAnchor>
    <xdr:from>
      <xdr:col>15</xdr:col>
      <xdr:colOff>220979</xdr:colOff>
      <xdr:row>17</xdr:row>
      <xdr:rowOff>53340</xdr:rowOff>
    </xdr:from>
    <xdr:to>
      <xdr:col>17</xdr:col>
      <xdr:colOff>75837</xdr:colOff>
      <xdr:row>18</xdr:row>
      <xdr:rowOff>71536</xdr:rowOff>
    </xdr:to>
    <xdr:sp macro="" textlink="">
      <xdr:nvSpPr>
        <xdr:cNvPr id="17" name="TextBox 16"/>
        <xdr:cNvSpPr txBox="1"/>
      </xdr:nvSpPr>
      <xdr:spPr>
        <a:xfrm rot="1296433">
          <a:off x="12733019" y="3162300"/>
          <a:ext cx="1074058" cy="201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800"/>
            <a:t>Xe/Ye :32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0.33781</cdr:x>
      <cdr:y>0.08657</cdr:y>
    </cdr:from>
    <cdr:to>
      <cdr:x>0.33929</cdr:x>
      <cdr:y>0.30601</cdr:y>
    </cdr:to>
    <cdr:sp macro="" textlink="">
      <cdr:nvSpPr>
        <cdr:cNvPr id="3" name="Straight Arrow Connector 2"/>
        <cdr:cNvSpPr/>
      </cdr:nvSpPr>
      <cdr:spPr>
        <a:xfrm xmlns:a="http://schemas.openxmlformats.org/drawingml/2006/main">
          <a:off x="1529111" y="243104"/>
          <a:ext cx="6700" cy="616198"/>
        </a:xfrm>
        <a:prstGeom xmlns:a="http://schemas.openxmlformats.org/drawingml/2006/main" prst="straightConnector1">
          <a:avLst/>
        </a:prstGeom>
        <a:ln xmlns:a="http://schemas.openxmlformats.org/drawingml/2006/main">
          <a:headEnd type="triangle"/>
          <a:tailEnd type="non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220084</xdr:colOff>
      <xdr:row>6</xdr:row>
      <xdr:rowOff>24205</xdr:rowOff>
    </xdr:from>
    <xdr:to>
      <xdr:col>18</xdr:col>
      <xdr:colOff>479488</xdr:colOff>
      <xdr:row>21</xdr:row>
      <xdr:rowOff>89056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409608</xdr:colOff>
      <xdr:row>9</xdr:row>
      <xdr:rowOff>76609</xdr:rowOff>
    </xdr:from>
    <xdr:to>
      <xdr:col>18</xdr:col>
      <xdr:colOff>199655</xdr:colOff>
      <xdr:row>12</xdr:row>
      <xdr:rowOff>130237</xdr:rowOff>
    </xdr:to>
    <xdr:sp macro="" textlink="">
      <xdr:nvSpPr>
        <xdr:cNvPr id="3" name="TextBox 2"/>
        <xdr:cNvSpPr txBox="1"/>
      </xdr:nvSpPr>
      <xdr:spPr>
        <a:xfrm>
          <a:off x="10323228" y="1722529"/>
          <a:ext cx="2838047" cy="6022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r"/>
          <a:r>
            <a:rPr lang="en-US" sz="800" b="1"/>
            <a:t>Increasing fracture lenght</a:t>
          </a:r>
          <a:r>
            <a:rPr lang="en-US" sz="800" b="1" baseline="0"/>
            <a:t/>
          </a:r>
          <a:br>
            <a:rPr lang="en-US" sz="800" b="1" baseline="0"/>
          </a:br>
          <a:r>
            <a:rPr lang="en-US" sz="800" b="0" baseline="0"/>
            <a:t>Tight reservoirs benefit the most from fracture stimulation</a:t>
          </a:r>
          <a:r>
            <a:rPr lang="en-US" sz="800" baseline="0"/>
            <a:t/>
          </a:r>
          <a:br>
            <a:rPr lang="en-US" sz="800" baseline="0"/>
          </a:br>
          <a:r>
            <a:rPr lang="en-US" sz="800" baseline="0"/>
            <a:t>EUR could be double or more on tight reservoir while reservoirs with good permeability EUR will stay about the same</a:t>
          </a:r>
          <a:endParaRPr lang="en-US" sz="800"/>
        </a:p>
      </xdr:txBody>
    </xdr:sp>
    <xdr:clientData/>
  </xdr:twoCellAnchor>
  <xdr:twoCellAnchor>
    <xdr:from>
      <xdr:col>12</xdr:col>
      <xdr:colOff>336565</xdr:colOff>
      <xdr:row>13</xdr:row>
      <xdr:rowOff>100413</xdr:rowOff>
    </xdr:from>
    <xdr:to>
      <xdr:col>13</xdr:col>
      <xdr:colOff>231882</xdr:colOff>
      <xdr:row>14</xdr:row>
      <xdr:rowOff>88630</xdr:rowOff>
    </xdr:to>
    <xdr:sp macro="" textlink="">
      <xdr:nvSpPr>
        <xdr:cNvPr id="5" name="TextBox 4"/>
        <xdr:cNvSpPr txBox="1"/>
      </xdr:nvSpPr>
      <xdr:spPr>
        <a:xfrm rot="615960">
          <a:off x="9661245" y="2449258"/>
          <a:ext cx="508060" cy="1688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800"/>
            <a:t>Xf=100</a:t>
          </a:r>
        </a:p>
      </xdr:txBody>
    </xdr:sp>
    <xdr:clientData/>
  </xdr:twoCellAnchor>
  <xdr:twoCellAnchor>
    <xdr:from>
      <xdr:col>12</xdr:col>
      <xdr:colOff>289916</xdr:colOff>
      <xdr:row>14</xdr:row>
      <xdr:rowOff>115317</xdr:rowOff>
    </xdr:from>
    <xdr:to>
      <xdr:col>13</xdr:col>
      <xdr:colOff>314228</xdr:colOff>
      <xdr:row>15</xdr:row>
      <xdr:rowOff>116811</xdr:rowOff>
    </xdr:to>
    <xdr:sp macro="" textlink="">
      <xdr:nvSpPr>
        <xdr:cNvPr id="6" name="TextBox 5"/>
        <xdr:cNvSpPr txBox="1"/>
      </xdr:nvSpPr>
      <xdr:spPr>
        <a:xfrm rot="391633">
          <a:off x="9614596" y="2644843"/>
          <a:ext cx="637055" cy="182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800"/>
            <a:t>Xf= 20</a:t>
          </a:r>
        </a:p>
      </xdr:txBody>
    </xdr:sp>
    <xdr:clientData/>
  </xdr:twoCellAnchor>
  <xdr:twoCellAnchor>
    <xdr:from>
      <xdr:col>28</xdr:col>
      <xdr:colOff>385230</xdr:colOff>
      <xdr:row>3</xdr:row>
      <xdr:rowOff>33613</xdr:rowOff>
    </xdr:from>
    <xdr:to>
      <xdr:col>33</xdr:col>
      <xdr:colOff>243417</xdr:colOff>
      <xdr:row>19</xdr:row>
      <xdr:rowOff>78517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285512</xdr:colOff>
      <xdr:row>12</xdr:row>
      <xdr:rowOff>93412</xdr:rowOff>
    </xdr:from>
    <xdr:to>
      <xdr:col>13</xdr:col>
      <xdr:colOff>180829</xdr:colOff>
      <xdr:row>13</xdr:row>
      <xdr:rowOff>81630</xdr:rowOff>
    </xdr:to>
    <xdr:sp macro="" textlink="">
      <xdr:nvSpPr>
        <xdr:cNvPr id="9" name="TextBox 8"/>
        <xdr:cNvSpPr txBox="1"/>
      </xdr:nvSpPr>
      <xdr:spPr>
        <a:xfrm rot="1080431">
          <a:off x="9610192" y="2261577"/>
          <a:ext cx="508060" cy="1688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800"/>
            <a:t>Xf=250</a:t>
          </a:r>
        </a:p>
      </xdr:txBody>
    </xdr:sp>
    <xdr:clientData/>
  </xdr:twoCellAnchor>
  <xdr:twoCellAnchor>
    <xdr:from>
      <xdr:col>13</xdr:col>
      <xdr:colOff>535664</xdr:colOff>
      <xdr:row>16</xdr:row>
      <xdr:rowOff>21430</xdr:rowOff>
    </xdr:from>
    <xdr:to>
      <xdr:col>14</xdr:col>
      <xdr:colOff>101260</xdr:colOff>
      <xdr:row>18</xdr:row>
      <xdr:rowOff>153671</xdr:rowOff>
    </xdr:to>
    <xdr:sp macro="" textlink="">
      <xdr:nvSpPr>
        <xdr:cNvPr id="11" name="TextBox 10"/>
        <xdr:cNvSpPr txBox="1"/>
      </xdr:nvSpPr>
      <xdr:spPr>
        <a:xfrm rot="3665411">
          <a:off x="10315455" y="3069949"/>
          <a:ext cx="493601" cy="1783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800"/>
            <a:t>Xf=250</a:t>
          </a:r>
        </a:p>
      </xdr:txBody>
    </xdr:sp>
    <xdr:clientData/>
  </xdr:twoCellAnchor>
  <xdr:twoCellAnchor>
    <xdr:from>
      <xdr:col>14</xdr:col>
      <xdr:colOff>353409</xdr:colOff>
      <xdr:row>16</xdr:row>
      <xdr:rowOff>22873</xdr:rowOff>
    </xdr:from>
    <xdr:to>
      <xdr:col>14</xdr:col>
      <xdr:colOff>522306</xdr:colOff>
      <xdr:row>18</xdr:row>
      <xdr:rowOff>169571</xdr:rowOff>
    </xdr:to>
    <xdr:sp macro="" textlink="">
      <xdr:nvSpPr>
        <xdr:cNvPr id="12" name="TextBox 11"/>
        <xdr:cNvSpPr txBox="1"/>
      </xdr:nvSpPr>
      <xdr:spPr>
        <a:xfrm rot="3115664">
          <a:off x="10733994" y="3083340"/>
          <a:ext cx="508058" cy="1688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800"/>
            <a:t>Xf=100</a:t>
          </a:r>
        </a:p>
      </xdr:txBody>
    </xdr:sp>
    <xdr:clientData/>
  </xdr:twoCellAnchor>
  <xdr:twoCellAnchor>
    <xdr:from>
      <xdr:col>15</xdr:col>
      <xdr:colOff>204906</xdr:colOff>
      <xdr:row>16</xdr:row>
      <xdr:rowOff>175464</xdr:rowOff>
    </xdr:from>
    <xdr:to>
      <xdr:col>16</xdr:col>
      <xdr:colOff>100223</xdr:colOff>
      <xdr:row>17</xdr:row>
      <xdr:rowOff>163681</xdr:rowOff>
    </xdr:to>
    <xdr:sp macro="" textlink="">
      <xdr:nvSpPr>
        <xdr:cNvPr id="13" name="TextBox 12"/>
        <xdr:cNvSpPr txBox="1"/>
      </xdr:nvSpPr>
      <xdr:spPr>
        <a:xfrm rot="2262121">
          <a:off x="11367813" y="3066351"/>
          <a:ext cx="508059" cy="1688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800"/>
            <a:t>Xf=20</a:t>
          </a:r>
        </a:p>
      </xdr:txBody>
    </xdr:sp>
    <xdr:clientData/>
  </xdr:twoCellAnchor>
  <xdr:twoCellAnchor>
    <xdr:from>
      <xdr:col>16</xdr:col>
      <xdr:colOff>68581</xdr:colOff>
      <xdr:row>7</xdr:row>
      <xdr:rowOff>71174</xdr:rowOff>
    </xdr:from>
    <xdr:to>
      <xdr:col>18</xdr:col>
      <xdr:colOff>209983</xdr:colOff>
      <xdr:row>9</xdr:row>
      <xdr:rowOff>118307</xdr:rowOff>
    </xdr:to>
    <xdr:sp macro="" textlink="">
      <xdr:nvSpPr>
        <xdr:cNvPr id="14" name="TextBox 13"/>
        <xdr:cNvSpPr txBox="1"/>
      </xdr:nvSpPr>
      <xdr:spPr>
        <a:xfrm>
          <a:off x="11811001" y="1351334"/>
          <a:ext cx="1360602" cy="41289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r"/>
          <a:r>
            <a:rPr lang="en-US" sz="900"/>
            <a:t>Tight   </a:t>
          </a:r>
          <a:r>
            <a:rPr lang="en-US" sz="900" baseline="0"/>
            <a:t> </a:t>
          </a:r>
          <a:r>
            <a:rPr lang="en-US" sz="900"/>
            <a:t>k&lt;1  </a:t>
          </a:r>
          <a:r>
            <a:rPr lang="en-US" sz="900" baseline="0"/>
            <a:t> md</a:t>
          </a:r>
        </a:p>
        <a:p>
          <a:pPr algn="r"/>
          <a:r>
            <a:rPr lang="en-US" sz="900" baseline="0"/>
            <a:t>       Fair   k&gt;20 md</a:t>
          </a:r>
          <a:endParaRPr lang="en-US" sz="900"/>
        </a:p>
      </xdr:txBody>
    </xdr:sp>
    <xdr:clientData/>
  </xdr:twoCellAnchor>
  <xdr:twoCellAnchor>
    <xdr:from>
      <xdr:col>16</xdr:col>
      <xdr:colOff>316012</xdr:colOff>
      <xdr:row>8</xdr:row>
      <xdr:rowOff>145198</xdr:rowOff>
    </xdr:from>
    <xdr:to>
      <xdr:col>16</xdr:col>
      <xdr:colOff>605336</xdr:colOff>
      <xdr:row>8</xdr:row>
      <xdr:rowOff>145198</xdr:rowOff>
    </xdr:to>
    <xdr:cxnSp macro="">
      <xdr:nvCxnSpPr>
        <xdr:cNvPr id="16" name="Straight Connector 15"/>
        <xdr:cNvCxnSpPr/>
      </xdr:nvCxnSpPr>
      <xdr:spPr>
        <a:xfrm>
          <a:off x="12058432" y="1608238"/>
          <a:ext cx="28932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308592</xdr:colOff>
      <xdr:row>7</xdr:row>
      <xdr:rowOff>181443</xdr:rowOff>
    </xdr:from>
    <xdr:to>
      <xdr:col>16</xdr:col>
      <xdr:colOff>597916</xdr:colOff>
      <xdr:row>7</xdr:row>
      <xdr:rowOff>181443</xdr:rowOff>
    </xdr:to>
    <xdr:cxnSp macro="">
      <xdr:nvCxnSpPr>
        <xdr:cNvPr id="17" name="Straight Connector 16"/>
        <xdr:cNvCxnSpPr/>
      </xdr:nvCxnSpPr>
      <xdr:spPr>
        <a:xfrm>
          <a:off x="12051012" y="1461603"/>
          <a:ext cx="289324" cy="0"/>
        </a:xfrm>
        <a:prstGeom prst="line">
          <a:avLst/>
        </a:prstGeom>
        <a:ln w="2540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586079</xdr:colOff>
      <xdr:row>59</xdr:row>
      <xdr:rowOff>159861</xdr:rowOff>
    </xdr:from>
    <xdr:to>
      <xdr:col>21</xdr:col>
      <xdr:colOff>592667</xdr:colOff>
      <xdr:row>82</xdr:row>
      <xdr:rowOff>42333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19</xdr:col>
      <xdr:colOff>135840</xdr:colOff>
      <xdr:row>60</xdr:row>
      <xdr:rowOff>158973</xdr:rowOff>
    </xdr:from>
    <xdr:to>
      <xdr:col>21</xdr:col>
      <xdr:colOff>288239</xdr:colOff>
      <xdr:row>67</xdr:row>
      <xdr:rowOff>52955</xdr:rowOff>
    </xdr:to>
    <xdr:pic>
      <xdr:nvPicPr>
        <xdr:cNvPr id="205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4638030" y="11226116"/>
          <a:ext cx="1361923" cy="1163982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220084</xdr:colOff>
      <xdr:row>6</xdr:row>
      <xdr:rowOff>24205</xdr:rowOff>
    </xdr:from>
    <xdr:to>
      <xdr:col>18</xdr:col>
      <xdr:colOff>479488</xdr:colOff>
      <xdr:row>21</xdr:row>
      <xdr:rowOff>89056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480391</xdr:colOff>
      <xdr:row>7</xdr:row>
      <xdr:rowOff>83532</xdr:rowOff>
    </xdr:from>
    <xdr:to>
      <xdr:col>18</xdr:col>
      <xdr:colOff>129425</xdr:colOff>
      <xdr:row>10</xdr:row>
      <xdr:rowOff>96900</xdr:rowOff>
    </xdr:to>
    <xdr:sp macro="" textlink="">
      <xdr:nvSpPr>
        <xdr:cNvPr id="3" name="TextBox 2"/>
        <xdr:cNvSpPr txBox="1"/>
      </xdr:nvSpPr>
      <xdr:spPr>
        <a:xfrm>
          <a:off x="10411239" y="1359054"/>
          <a:ext cx="2713599" cy="5600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r"/>
          <a:r>
            <a:rPr lang="en-US" sz="800" b="1"/>
            <a:t>Increasing</a:t>
          </a:r>
          <a:r>
            <a:rPr lang="en-US" sz="800" b="1" baseline="0"/>
            <a:t> values of storativity</a:t>
          </a:r>
          <a:br>
            <a:rPr lang="en-US" sz="800" b="1" baseline="0"/>
          </a:br>
          <a:r>
            <a:rPr lang="en-US" sz="800" b="0" baseline="0"/>
            <a:t>Storativity of 1 corresponds to a homogenenous reservoir</a:t>
          </a:r>
          <a:r>
            <a:rPr lang="en-US" sz="800" baseline="0"/>
            <a:t/>
          </a:r>
          <a:br>
            <a:rPr lang="en-US" sz="800" baseline="0"/>
          </a:br>
          <a:r>
            <a:rPr lang="en-US" sz="800" baseline="0"/>
            <a:t> as matrix contribues during late time production will flaten</a:t>
          </a:r>
          <a:endParaRPr lang="en-US" sz="800"/>
        </a:p>
      </xdr:txBody>
    </xdr:sp>
    <xdr:clientData/>
  </xdr:twoCellAnchor>
  <xdr:twoCellAnchor>
    <xdr:from>
      <xdr:col>16</xdr:col>
      <xdr:colOff>463829</xdr:colOff>
      <xdr:row>11</xdr:row>
      <xdr:rowOff>173937</xdr:rowOff>
    </xdr:from>
    <xdr:to>
      <xdr:col>17</xdr:col>
      <xdr:colOff>423287</xdr:colOff>
      <xdr:row>13</xdr:row>
      <xdr:rowOff>49552</xdr:rowOff>
    </xdr:to>
    <xdr:sp macro="" textlink="">
      <xdr:nvSpPr>
        <xdr:cNvPr id="4" name="TextBox 3"/>
        <xdr:cNvSpPr txBox="1"/>
      </xdr:nvSpPr>
      <xdr:spPr>
        <a:xfrm>
          <a:off x="12233416" y="2178328"/>
          <a:ext cx="572371" cy="24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800"/>
            <a:t>w=0.01</a:t>
          </a:r>
        </a:p>
      </xdr:txBody>
    </xdr:sp>
    <xdr:clientData/>
  </xdr:twoCellAnchor>
  <xdr:twoCellAnchor>
    <xdr:from>
      <xdr:col>16</xdr:col>
      <xdr:colOff>310685</xdr:colOff>
      <xdr:row>14</xdr:row>
      <xdr:rowOff>140548</xdr:rowOff>
    </xdr:from>
    <xdr:to>
      <xdr:col>17</xdr:col>
      <xdr:colOff>206002</xdr:colOff>
      <xdr:row>15</xdr:row>
      <xdr:rowOff>128766</xdr:rowOff>
    </xdr:to>
    <xdr:sp macro="" textlink="">
      <xdr:nvSpPr>
        <xdr:cNvPr id="5" name="TextBox 4"/>
        <xdr:cNvSpPr txBox="1"/>
      </xdr:nvSpPr>
      <xdr:spPr>
        <a:xfrm rot="513718">
          <a:off x="12080272" y="2691591"/>
          <a:ext cx="508230" cy="1704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800"/>
            <a:t>w=0.5</a:t>
          </a:r>
        </a:p>
      </xdr:txBody>
    </xdr:sp>
    <xdr:clientData/>
  </xdr:twoCellAnchor>
  <xdr:twoCellAnchor>
    <xdr:from>
      <xdr:col>15</xdr:col>
      <xdr:colOff>427034</xdr:colOff>
      <xdr:row>17</xdr:row>
      <xdr:rowOff>17225</xdr:rowOff>
    </xdr:from>
    <xdr:to>
      <xdr:col>16</xdr:col>
      <xdr:colOff>451346</xdr:colOff>
      <xdr:row>18</xdr:row>
      <xdr:rowOff>18718</xdr:rowOff>
    </xdr:to>
    <xdr:sp macro="" textlink="">
      <xdr:nvSpPr>
        <xdr:cNvPr id="6" name="TextBox 5"/>
        <xdr:cNvSpPr txBox="1"/>
      </xdr:nvSpPr>
      <xdr:spPr>
        <a:xfrm rot="1486636">
          <a:off x="11583708" y="3114921"/>
          <a:ext cx="637225" cy="1837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800"/>
            <a:t>w= 0.7</a:t>
          </a:r>
        </a:p>
      </xdr:txBody>
    </xdr:sp>
    <xdr:clientData/>
  </xdr:twoCellAnchor>
  <xdr:twoCellAnchor editAs="oneCell">
    <xdr:from>
      <xdr:col>12</xdr:col>
      <xdr:colOff>0</xdr:colOff>
      <xdr:row>25</xdr:row>
      <xdr:rowOff>0</xdr:rowOff>
    </xdr:from>
    <xdr:to>
      <xdr:col>21</xdr:col>
      <xdr:colOff>204099</xdr:colOff>
      <xdr:row>44</xdr:row>
      <xdr:rowOff>121342</xdr:rowOff>
    </xdr:to>
    <xdr:pic>
      <xdr:nvPicPr>
        <xdr:cNvPr id="7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317935" y="4737652"/>
          <a:ext cx="5720316" cy="3583473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</xdr:pic>
    <xdr:clientData/>
  </xdr:twoCellAnchor>
  <xdr:twoCellAnchor editAs="oneCell">
    <xdr:from>
      <xdr:col>25</xdr:col>
      <xdr:colOff>238125</xdr:colOff>
      <xdr:row>27</xdr:row>
      <xdr:rowOff>0</xdr:rowOff>
    </xdr:from>
    <xdr:to>
      <xdr:col>29</xdr:col>
      <xdr:colOff>382905</xdr:colOff>
      <xdr:row>35</xdr:row>
      <xdr:rowOff>106680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7468850" y="5067300"/>
          <a:ext cx="2583180" cy="15544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12</xdr:col>
      <xdr:colOff>155376</xdr:colOff>
      <xdr:row>14</xdr:row>
      <xdr:rowOff>2148</xdr:rowOff>
    </xdr:from>
    <xdr:to>
      <xdr:col>13</xdr:col>
      <xdr:colOff>270074</xdr:colOff>
      <xdr:row>18</xdr:row>
      <xdr:rowOff>51334</xdr:rowOff>
    </xdr:to>
    <xdr:pic>
      <xdr:nvPicPr>
        <xdr:cNvPr id="102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9453705" y="2567870"/>
          <a:ext cx="722369" cy="782249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28</xdr:col>
      <xdr:colOff>385229</xdr:colOff>
      <xdr:row>3</xdr:row>
      <xdr:rowOff>33613</xdr:rowOff>
    </xdr:from>
    <xdr:to>
      <xdr:col>34</xdr:col>
      <xdr:colOff>426051</xdr:colOff>
      <xdr:row>19</xdr:row>
      <xdr:rowOff>78517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0.88963</cdr:x>
      <cdr:y>0.55141</cdr:y>
    </cdr:from>
    <cdr:to>
      <cdr:x>0.89111</cdr:x>
      <cdr:y>0.77085</cdr:y>
    </cdr:to>
    <cdr:sp macro="" textlink="">
      <cdr:nvSpPr>
        <cdr:cNvPr id="3" name="Straight Arrow Connector 2"/>
        <cdr:cNvSpPr/>
      </cdr:nvSpPr>
      <cdr:spPr>
        <a:xfrm xmlns:a="http://schemas.openxmlformats.org/drawingml/2006/main">
          <a:off x="4047655" y="1542912"/>
          <a:ext cx="6734" cy="614018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220084</xdr:colOff>
      <xdr:row>6</xdr:row>
      <xdr:rowOff>24205</xdr:rowOff>
    </xdr:from>
    <xdr:to>
      <xdr:col>18</xdr:col>
      <xdr:colOff>479488</xdr:colOff>
      <xdr:row>21</xdr:row>
      <xdr:rowOff>89056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322554</xdr:colOff>
      <xdr:row>6</xdr:row>
      <xdr:rowOff>126489</xdr:rowOff>
    </xdr:from>
    <xdr:to>
      <xdr:col>18</xdr:col>
      <xdr:colOff>266916</xdr:colOff>
      <xdr:row>8</xdr:row>
      <xdr:rowOff>164262</xdr:rowOff>
    </xdr:to>
    <xdr:sp macro="" textlink="">
      <xdr:nvSpPr>
        <xdr:cNvPr id="3" name="TextBox 2"/>
        <xdr:cNvSpPr txBox="1"/>
      </xdr:nvSpPr>
      <xdr:spPr>
        <a:xfrm>
          <a:off x="11615394" y="1223769"/>
          <a:ext cx="2992362" cy="4035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r"/>
          <a:r>
            <a:rPr lang="en-US" sz="800" b="1"/>
            <a:t>Increasing</a:t>
          </a:r>
          <a:r>
            <a:rPr lang="en-US" sz="800" b="1" baseline="0"/>
            <a:t> Drainage Area</a:t>
          </a:r>
          <a:br>
            <a:rPr lang="en-US" sz="800" b="1" baseline="0"/>
          </a:br>
          <a:r>
            <a:rPr lang="en-US" sz="800" baseline="0"/>
            <a:t>Large drainage areas stays in transient for long periods</a:t>
          </a:r>
          <a:br>
            <a:rPr lang="en-US" sz="800" baseline="0"/>
          </a:br>
          <a:endParaRPr lang="en-US" sz="800"/>
        </a:p>
      </xdr:txBody>
    </xdr:sp>
    <xdr:clientData/>
  </xdr:twoCellAnchor>
  <xdr:twoCellAnchor>
    <xdr:from>
      <xdr:col>15</xdr:col>
      <xdr:colOff>115956</xdr:colOff>
      <xdr:row>13</xdr:row>
      <xdr:rowOff>80252</xdr:rowOff>
    </xdr:from>
    <xdr:to>
      <xdr:col>15</xdr:col>
      <xdr:colOff>297235</xdr:colOff>
      <xdr:row>19</xdr:row>
      <xdr:rowOff>121606</xdr:rowOff>
    </xdr:to>
    <xdr:sp macro="" textlink="">
      <xdr:nvSpPr>
        <xdr:cNvPr id="4" name="TextBox 3"/>
        <xdr:cNvSpPr txBox="1"/>
      </xdr:nvSpPr>
      <xdr:spPr>
        <a:xfrm rot="4810876">
          <a:off x="12149319" y="2936369"/>
          <a:ext cx="1138634" cy="1812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800"/>
            <a:t>40 Acres</a:t>
          </a:r>
        </a:p>
      </xdr:txBody>
    </xdr:sp>
    <xdr:clientData/>
  </xdr:twoCellAnchor>
  <xdr:twoCellAnchor>
    <xdr:from>
      <xdr:col>16</xdr:col>
      <xdr:colOff>325420</xdr:colOff>
      <xdr:row>13</xdr:row>
      <xdr:rowOff>36991</xdr:rowOff>
    </xdr:from>
    <xdr:to>
      <xdr:col>16</xdr:col>
      <xdr:colOff>516842</xdr:colOff>
      <xdr:row>18</xdr:row>
      <xdr:rowOff>157299</xdr:rowOff>
    </xdr:to>
    <xdr:sp macro="" textlink="">
      <xdr:nvSpPr>
        <xdr:cNvPr id="5" name="TextBox 4"/>
        <xdr:cNvSpPr txBox="1"/>
      </xdr:nvSpPr>
      <xdr:spPr>
        <a:xfrm rot="4472158">
          <a:off x="13025417" y="2836074"/>
          <a:ext cx="1034708" cy="1914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800"/>
            <a:t>320 Acres</a:t>
          </a:r>
        </a:p>
      </xdr:txBody>
    </xdr:sp>
    <xdr:clientData/>
  </xdr:twoCellAnchor>
  <xdr:twoCellAnchor>
    <xdr:from>
      <xdr:col>14</xdr:col>
      <xdr:colOff>188327</xdr:colOff>
      <xdr:row>13</xdr:row>
      <xdr:rowOff>82959</xdr:rowOff>
    </xdr:from>
    <xdr:to>
      <xdr:col>14</xdr:col>
      <xdr:colOff>389403</xdr:colOff>
      <xdr:row>19</xdr:row>
      <xdr:rowOff>59737</xdr:rowOff>
    </xdr:to>
    <xdr:sp macro="" textlink="">
      <xdr:nvSpPr>
        <xdr:cNvPr id="6" name="TextBox 5"/>
        <xdr:cNvSpPr txBox="1"/>
      </xdr:nvSpPr>
      <xdr:spPr>
        <a:xfrm rot="4538795">
          <a:off x="11654276" y="2896890"/>
          <a:ext cx="1074058" cy="201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800"/>
            <a:t>13 Acres</a:t>
          </a:r>
        </a:p>
      </xdr:txBody>
    </xdr:sp>
    <xdr:clientData/>
  </xdr:twoCellAnchor>
  <xdr:twoCellAnchor>
    <xdr:from>
      <xdr:col>17</xdr:col>
      <xdr:colOff>202081</xdr:colOff>
      <xdr:row>13</xdr:row>
      <xdr:rowOff>74362</xdr:rowOff>
    </xdr:from>
    <xdr:to>
      <xdr:col>17</xdr:col>
      <xdr:colOff>393502</xdr:colOff>
      <xdr:row>19</xdr:row>
      <xdr:rowOff>11790</xdr:rowOff>
    </xdr:to>
    <xdr:sp macro="" textlink="">
      <xdr:nvSpPr>
        <xdr:cNvPr id="7" name="TextBox 6"/>
        <xdr:cNvSpPr txBox="1"/>
      </xdr:nvSpPr>
      <xdr:spPr>
        <a:xfrm rot="4456240">
          <a:off x="13511678" y="2873445"/>
          <a:ext cx="1034708" cy="1914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800"/>
            <a:t>1,066 Acres</a:t>
          </a:r>
        </a:p>
      </xdr:txBody>
    </xdr:sp>
    <xdr:clientData/>
  </xdr:twoCellAnchor>
  <xdr:twoCellAnchor>
    <xdr:from>
      <xdr:col>14</xdr:col>
      <xdr:colOff>506987</xdr:colOff>
      <xdr:row>13</xdr:row>
      <xdr:rowOff>25320</xdr:rowOff>
    </xdr:from>
    <xdr:to>
      <xdr:col>15</xdr:col>
      <xdr:colOff>78665</xdr:colOff>
      <xdr:row>19</xdr:row>
      <xdr:rowOff>66673</xdr:rowOff>
    </xdr:to>
    <xdr:sp macro="" textlink="">
      <xdr:nvSpPr>
        <xdr:cNvPr id="8" name="TextBox 7"/>
        <xdr:cNvSpPr txBox="1"/>
      </xdr:nvSpPr>
      <xdr:spPr>
        <a:xfrm rot="4692447">
          <a:off x="11930749" y="2881438"/>
          <a:ext cx="1138633" cy="1812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800"/>
            <a:t>30 Acres</a:t>
          </a:r>
        </a:p>
      </xdr:txBody>
    </xdr:sp>
    <xdr:clientData/>
  </xdr:twoCellAnchor>
  <xdr:twoCellAnchor>
    <xdr:from>
      <xdr:col>14</xdr:col>
      <xdr:colOff>367711</xdr:colOff>
      <xdr:row>13</xdr:row>
      <xdr:rowOff>58163</xdr:rowOff>
    </xdr:from>
    <xdr:to>
      <xdr:col>14</xdr:col>
      <xdr:colOff>551727</xdr:colOff>
      <xdr:row>19</xdr:row>
      <xdr:rowOff>75289</xdr:rowOff>
    </xdr:to>
    <xdr:sp macro="" textlink="">
      <xdr:nvSpPr>
        <xdr:cNvPr id="9" name="TextBox 8"/>
        <xdr:cNvSpPr txBox="1"/>
      </xdr:nvSpPr>
      <xdr:spPr>
        <a:xfrm rot="4774156">
          <a:off x="11804956" y="2900798"/>
          <a:ext cx="1114406" cy="1840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800"/>
            <a:t>20 Acres</a:t>
          </a:r>
        </a:p>
      </xdr:txBody>
    </xdr:sp>
    <xdr:clientData/>
  </xdr:twoCellAnchor>
  <xdr:twoCellAnchor>
    <xdr:from>
      <xdr:col>15</xdr:col>
      <xdr:colOff>388310</xdr:colOff>
      <xdr:row>13</xdr:row>
      <xdr:rowOff>43788</xdr:rowOff>
    </xdr:from>
    <xdr:to>
      <xdr:col>15</xdr:col>
      <xdr:colOff>569588</xdr:colOff>
      <xdr:row>19</xdr:row>
      <xdr:rowOff>92192</xdr:rowOff>
    </xdr:to>
    <xdr:sp macro="" textlink="">
      <xdr:nvSpPr>
        <xdr:cNvPr id="10" name="TextBox 9"/>
        <xdr:cNvSpPr txBox="1"/>
      </xdr:nvSpPr>
      <xdr:spPr>
        <a:xfrm rot="4622678">
          <a:off x="12418147" y="2903431"/>
          <a:ext cx="1145684" cy="1812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800"/>
            <a:t>80 Acres</a:t>
          </a:r>
        </a:p>
      </xdr:txBody>
    </xdr:sp>
    <xdr:clientData/>
  </xdr:twoCellAnchor>
  <xdr:twoCellAnchor>
    <xdr:from>
      <xdr:col>28</xdr:col>
      <xdr:colOff>385229</xdr:colOff>
      <xdr:row>3</xdr:row>
      <xdr:rowOff>33613</xdr:rowOff>
    </xdr:from>
    <xdr:to>
      <xdr:col>34</xdr:col>
      <xdr:colOff>426051</xdr:colOff>
      <xdr:row>19</xdr:row>
      <xdr:rowOff>78517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0.33781</cdr:x>
      <cdr:y>0.08657</cdr:y>
    </cdr:from>
    <cdr:to>
      <cdr:x>0.33929</cdr:x>
      <cdr:y>0.30601</cdr:y>
    </cdr:to>
    <cdr:sp macro="" textlink="">
      <cdr:nvSpPr>
        <cdr:cNvPr id="3" name="Straight Arrow Connector 2"/>
        <cdr:cNvSpPr/>
      </cdr:nvSpPr>
      <cdr:spPr>
        <a:xfrm xmlns:a="http://schemas.openxmlformats.org/drawingml/2006/main">
          <a:off x="1529111" y="243104"/>
          <a:ext cx="6700" cy="616198"/>
        </a:xfrm>
        <a:prstGeom xmlns:a="http://schemas.openxmlformats.org/drawingml/2006/main" prst="straightConnector1">
          <a:avLst/>
        </a:prstGeom>
        <a:ln xmlns:a="http://schemas.openxmlformats.org/drawingml/2006/main">
          <a:headEnd type="triangle"/>
          <a:tailEnd type="non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220084</xdr:colOff>
      <xdr:row>6</xdr:row>
      <xdr:rowOff>24205</xdr:rowOff>
    </xdr:from>
    <xdr:to>
      <xdr:col>18</xdr:col>
      <xdr:colOff>479488</xdr:colOff>
      <xdr:row>21</xdr:row>
      <xdr:rowOff>89056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150259</xdr:colOff>
      <xdr:row>11</xdr:row>
      <xdr:rowOff>142908</xdr:rowOff>
    </xdr:from>
    <xdr:to>
      <xdr:col>16</xdr:col>
      <xdr:colOff>70049</xdr:colOff>
      <xdr:row>14</xdr:row>
      <xdr:rowOff>156277</xdr:rowOff>
    </xdr:to>
    <xdr:sp macro="" textlink="">
      <xdr:nvSpPr>
        <xdr:cNvPr id="4" name="TextBox 3"/>
        <xdr:cNvSpPr txBox="1"/>
      </xdr:nvSpPr>
      <xdr:spPr>
        <a:xfrm>
          <a:off x="9926719" y="2154588"/>
          <a:ext cx="2358190" cy="5620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l"/>
          <a:r>
            <a:rPr lang="en-US" sz="800" b="1"/>
            <a:t>Increasing</a:t>
          </a:r>
          <a:r>
            <a:rPr lang="en-US" sz="800" b="1" baseline="0"/>
            <a:t> Values of skin</a:t>
          </a:r>
          <a:br>
            <a:rPr lang="en-US" sz="800" b="1" baseline="0"/>
          </a:br>
          <a:r>
            <a:rPr lang="en-US" sz="800" baseline="0"/>
            <a:t>Large positive skins (formation damage) will act</a:t>
          </a:r>
          <a:br>
            <a:rPr lang="en-US" sz="800" baseline="0"/>
          </a:br>
          <a:r>
            <a:rPr lang="en-US" sz="800" baseline="0"/>
            <a:t> as production being constrained and thefore flat</a:t>
          </a:r>
          <a:endParaRPr lang="en-US" sz="800"/>
        </a:p>
      </xdr:txBody>
    </xdr:sp>
    <xdr:clientData/>
  </xdr:twoCellAnchor>
  <xdr:twoCellAnchor>
    <xdr:from>
      <xdr:col>12</xdr:col>
      <xdr:colOff>46789</xdr:colOff>
      <xdr:row>7</xdr:row>
      <xdr:rowOff>173790</xdr:rowOff>
    </xdr:from>
    <xdr:to>
      <xdr:col>12</xdr:col>
      <xdr:colOff>481262</xdr:colOff>
      <xdr:row>8</xdr:row>
      <xdr:rowOff>173790</xdr:rowOff>
    </xdr:to>
    <xdr:sp macro="" textlink="">
      <xdr:nvSpPr>
        <xdr:cNvPr id="5" name="TextBox 4"/>
        <xdr:cNvSpPr txBox="1"/>
      </xdr:nvSpPr>
      <xdr:spPr>
        <a:xfrm>
          <a:off x="9812421" y="1437106"/>
          <a:ext cx="434473" cy="1804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800"/>
            <a:t>s=0</a:t>
          </a:r>
        </a:p>
      </xdr:txBody>
    </xdr:sp>
    <xdr:clientData/>
  </xdr:twoCellAnchor>
  <xdr:twoCellAnchor>
    <xdr:from>
      <xdr:col>12</xdr:col>
      <xdr:colOff>53475</xdr:colOff>
      <xdr:row>6</xdr:row>
      <xdr:rowOff>93582</xdr:rowOff>
    </xdr:from>
    <xdr:to>
      <xdr:col>12</xdr:col>
      <xdr:colOff>487948</xdr:colOff>
      <xdr:row>7</xdr:row>
      <xdr:rowOff>93581</xdr:rowOff>
    </xdr:to>
    <xdr:sp macro="" textlink="">
      <xdr:nvSpPr>
        <xdr:cNvPr id="6" name="TextBox 5"/>
        <xdr:cNvSpPr txBox="1"/>
      </xdr:nvSpPr>
      <xdr:spPr>
        <a:xfrm>
          <a:off x="9819107" y="1176424"/>
          <a:ext cx="434473" cy="1804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800"/>
            <a:t>s=-4</a:t>
          </a:r>
        </a:p>
      </xdr:txBody>
    </xdr:sp>
    <xdr:clientData/>
  </xdr:twoCellAnchor>
  <xdr:twoCellAnchor>
    <xdr:from>
      <xdr:col>12</xdr:col>
      <xdr:colOff>46790</xdr:colOff>
      <xdr:row>9</xdr:row>
      <xdr:rowOff>26738</xdr:rowOff>
    </xdr:from>
    <xdr:to>
      <xdr:col>12</xdr:col>
      <xdr:colOff>481263</xdr:colOff>
      <xdr:row>10</xdr:row>
      <xdr:rowOff>26737</xdr:rowOff>
    </xdr:to>
    <xdr:sp macro="" textlink="">
      <xdr:nvSpPr>
        <xdr:cNvPr id="7" name="TextBox 6"/>
        <xdr:cNvSpPr txBox="1"/>
      </xdr:nvSpPr>
      <xdr:spPr>
        <a:xfrm>
          <a:off x="9812422" y="1651001"/>
          <a:ext cx="434473" cy="1804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800"/>
            <a:t>s= 5</a:t>
          </a:r>
        </a:p>
      </xdr:txBody>
    </xdr:sp>
    <xdr:clientData/>
  </xdr:twoCellAnchor>
  <xdr:twoCellAnchor>
    <xdr:from>
      <xdr:col>28</xdr:col>
      <xdr:colOff>385229</xdr:colOff>
      <xdr:row>3</xdr:row>
      <xdr:rowOff>33613</xdr:rowOff>
    </xdr:from>
    <xdr:to>
      <xdr:col>34</xdr:col>
      <xdr:colOff>426051</xdr:colOff>
      <xdr:row>19</xdr:row>
      <xdr:rowOff>78517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0.11777</cdr:x>
      <cdr:y>0.063</cdr:y>
    </cdr:from>
    <cdr:to>
      <cdr:x>0.11925</cdr:x>
      <cdr:y>0.28244</cdr:y>
    </cdr:to>
    <cdr:sp macro="" textlink="">
      <cdr:nvSpPr>
        <cdr:cNvPr id="3" name="Straight Arrow Connector 2"/>
        <cdr:cNvSpPr/>
      </cdr:nvSpPr>
      <cdr:spPr>
        <a:xfrm xmlns:a="http://schemas.openxmlformats.org/drawingml/2006/main">
          <a:off x="533114" y="176920"/>
          <a:ext cx="6698" cy="616184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19</xdr:row>
      <xdr:rowOff>0</xdr:rowOff>
    </xdr:from>
    <xdr:to>
      <xdr:col>15</xdr:col>
      <xdr:colOff>304799</xdr:colOff>
      <xdr:row>31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AI1136"/>
  <sheetViews>
    <sheetView topLeftCell="A21" zoomScale="77" zoomScaleNormal="77" workbookViewId="0">
      <selection activeCell="B24" sqref="B24:B28"/>
    </sheetView>
  </sheetViews>
  <sheetFormatPr defaultRowHeight="14.4"/>
  <cols>
    <col min="1" max="1" width="10.5546875" bestFit="1" customWidth="1"/>
    <col min="2" max="2" width="18.109375" customWidth="1"/>
    <col min="3" max="3" width="24.5546875" customWidth="1"/>
    <col min="4" max="4" width="16.109375" customWidth="1"/>
    <col min="5" max="5" width="11.109375" bestFit="1" customWidth="1"/>
    <col min="6" max="10" width="10.88671875" bestFit="1" customWidth="1"/>
    <col min="11" max="11" width="12" bestFit="1" customWidth="1"/>
  </cols>
  <sheetData>
    <row r="1" spans="2:35">
      <c r="C1" t="s">
        <v>48</v>
      </c>
      <c r="E1" s="15">
        <v>1</v>
      </c>
      <c r="F1" s="3">
        <v>0.75</v>
      </c>
      <c r="G1" s="3">
        <v>0.5</v>
      </c>
      <c r="H1" s="3">
        <v>0.25</v>
      </c>
      <c r="I1" s="3">
        <v>0.125</v>
      </c>
      <c r="J1" s="3">
        <f>I1/2</f>
        <v>6.25E-2</v>
      </c>
      <c r="K1" s="3">
        <f>J1/2</f>
        <v>3.125E-2</v>
      </c>
    </row>
    <row r="2" spans="2:35">
      <c r="C2" t="s">
        <v>34</v>
      </c>
      <c r="E2">
        <f>SQRT(E3/PI()*43560)</f>
        <v>744.73025028303834</v>
      </c>
      <c r="F2">
        <f t="shared" ref="F2:K2" si="0">SQRT(F3/PI()*43560)</f>
        <v>744.73025028303834</v>
      </c>
      <c r="G2">
        <f t="shared" si="0"/>
        <v>744.73025028303846</v>
      </c>
      <c r="H2">
        <f t="shared" si="0"/>
        <v>744.73025028303834</v>
      </c>
      <c r="I2">
        <f t="shared" si="0"/>
        <v>744.73025028303846</v>
      </c>
      <c r="J2">
        <f t="shared" si="0"/>
        <v>744.73025028303834</v>
      </c>
      <c r="K2">
        <f t="shared" si="0"/>
        <v>744.73025028303846</v>
      </c>
    </row>
    <row r="3" spans="2:35">
      <c r="C3" t="s">
        <v>32</v>
      </c>
      <c r="E3" s="3">
        <f>E16*E17/43560</f>
        <v>40</v>
      </c>
      <c r="F3" s="3">
        <f t="shared" ref="F3:K3" si="1">F16*F17/43560</f>
        <v>40</v>
      </c>
      <c r="G3" s="3">
        <f t="shared" si="1"/>
        <v>40.000000000000007</v>
      </c>
      <c r="H3" s="3">
        <f t="shared" si="1"/>
        <v>40</v>
      </c>
      <c r="I3" s="3">
        <f t="shared" si="1"/>
        <v>40.000000000000007</v>
      </c>
      <c r="J3" s="3">
        <f t="shared" si="1"/>
        <v>40</v>
      </c>
      <c r="K3" s="3">
        <f t="shared" si="1"/>
        <v>40.000000000000007</v>
      </c>
    </row>
    <row r="4" spans="2:35">
      <c r="E4" s="4">
        <v>4</v>
      </c>
      <c r="F4" s="4">
        <v>4</v>
      </c>
      <c r="G4" s="4">
        <v>4</v>
      </c>
      <c r="H4" s="4">
        <v>4</v>
      </c>
      <c r="I4" s="4">
        <v>4</v>
      </c>
      <c r="J4" s="4">
        <v>4</v>
      </c>
      <c r="K4" s="4">
        <v>4</v>
      </c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</row>
    <row r="5" spans="2:35">
      <c r="C5" s="1" t="s">
        <v>0</v>
      </c>
      <c r="D5" s="1" t="s">
        <v>31</v>
      </c>
      <c r="E5" s="4">
        <f>SQRT(40*43560/E1)</f>
        <v>1320</v>
      </c>
      <c r="F5" s="4">
        <f t="shared" ref="F5:K5" si="2">SQRT(40*43560/F1)</f>
        <v>1524.2047106606119</v>
      </c>
      <c r="G5" s="4">
        <f t="shared" si="2"/>
        <v>1866.7619023324855</v>
      </c>
      <c r="H5" s="4">
        <f t="shared" si="2"/>
        <v>2640</v>
      </c>
      <c r="I5" s="4">
        <f t="shared" si="2"/>
        <v>3733.5238046649711</v>
      </c>
      <c r="J5" s="4">
        <f t="shared" si="2"/>
        <v>5280</v>
      </c>
      <c r="K5" s="4">
        <f t="shared" si="2"/>
        <v>7467.0476093299421</v>
      </c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</row>
    <row r="6" spans="2:35">
      <c r="C6" t="s">
        <v>1</v>
      </c>
      <c r="D6" t="s">
        <v>2</v>
      </c>
      <c r="E6" s="4">
        <v>700</v>
      </c>
      <c r="F6" s="4">
        <f>E6</f>
        <v>700</v>
      </c>
      <c r="G6" s="4">
        <f t="shared" ref="G6:K7" si="3">F6</f>
        <v>700</v>
      </c>
      <c r="H6" s="4">
        <f t="shared" si="3"/>
        <v>700</v>
      </c>
      <c r="I6" s="4">
        <f t="shared" si="3"/>
        <v>700</v>
      </c>
      <c r="J6" s="4">
        <f t="shared" si="3"/>
        <v>700</v>
      </c>
      <c r="K6" s="4">
        <f t="shared" si="3"/>
        <v>700</v>
      </c>
      <c r="L6" s="2"/>
      <c r="M6" s="2"/>
      <c r="N6" s="2"/>
      <c r="O6" s="2"/>
      <c r="P6" s="2"/>
      <c r="Q6" s="2"/>
      <c r="W6" t="s">
        <v>46</v>
      </c>
      <c r="X6" s="10"/>
      <c r="Y6" s="10"/>
      <c r="Z6" s="13">
        <v>4</v>
      </c>
      <c r="AA6" s="10"/>
      <c r="AB6" s="10"/>
      <c r="AC6" s="10"/>
      <c r="AD6" s="10"/>
      <c r="AE6" s="10"/>
      <c r="AF6" s="10"/>
      <c r="AG6" s="10"/>
      <c r="AH6" s="10"/>
      <c r="AI6" s="10"/>
    </row>
    <row r="7" spans="2:35">
      <c r="C7" t="s">
        <v>3</v>
      </c>
      <c r="D7" t="s">
        <v>2</v>
      </c>
      <c r="E7" s="4">
        <v>50</v>
      </c>
      <c r="F7" s="4">
        <f>E7</f>
        <v>50</v>
      </c>
      <c r="G7" s="4">
        <f t="shared" si="3"/>
        <v>50</v>
      </c>
      <c r="H7" s="4">
        <f t="shared" si="3"/>
        <v>50</v>
      </c>
      <c r="I7" s="4">
        <f t="shared" si="3"/>
        <v>50</v>
      </c>
      <c r="J7" s="4">
        <f t="shared" si="3"/>
        <v>50</v>
      </c>
      <c r="K7" s="4">
        <f t="shared" si="3"/>
        <v>50</v>
      </c>
      <c r="L7" s="2"/>
      <c r="M7" s="2"/>
      <c r="N7" s="2"/>
      <c r="O7" s="2"/>
      <c r="P7" s="2"/>
      <c r="Q7" s="2"/>
      <c r="W7" s="10" t="s">
        <v>38</v>
      </c>
      <c r="X7" s="10"/>
      <c r="Y7" s="11" t="s">
        <v>39</v>
      </c>
      <c r="Z7" s="11"/>
      <c r="AA7" s="10"/>
      <c r="AB7" s="10"/>
      <c r="AC7" s="10"/>
      <c r="AD7" s="10"/>
      <c r="AE7" s="10"/>
      <c r="AF7" s="10"/>
      <c r="AG7" s="10"/>
      <c r="AH7" s="10"/>
      <c r="AI7" s="10"/>
    </row>
    <row r="8" spans="2:35">
      <c r="B8">
        <v>2</v>
      </c>
      <c r="C8" t="s">
        <v>4</v>
      </c>
      <c r="D8" t="s">
        <v>5</v>
      </c>
      <c r="E8" s="4">
        <v>2</v>
      </c>
      <c r="F8" s="4">
        <v>2</v>
      </c>
      <c r="G8" s="4">
        <v>2</v>
      </c>
      <c r="H8" s="4">
        <v>2</v>
      </c>
      <c r="I8" s="4">
        <v>2</v>
      </c>
      <c r="J8" s="4">
        <v>2</v>
      </c>
      <c r="K8" s="4">
        <v>2</v>
      </c>
      <c r="L8" s="2"/>
      <c r="M8" s="2"/>
      <c r="N8" s="2"/>
      <c r="O8" s="2"/>
      <c r="P8" s="2"/>
      <c r="Q8" s="2"/>
      <c r="W8" s="11" t="s">
        <v>43</v>
      </c>
      <c r="X8" s="11" t="s">
        <v>44</v>
      </c>
      <c r="Y8" s="11" t="s">
        <v>41</v>
      </c>
      <c r="Z8" s="11" t="s">
        <v>42</v>
      </c>
      <c r="AA8" s="10" t="s">
        <v>40</v>
      </c>
      <c r="AB8" s="10"/>
      <c r="AC8" s="10"/>
      <c r="AD8" s="10"/>
      <c r="AE8" s="10"/>
      <c r="AF8" s="10"/>
      <c r="AG8" s="10"/>
      <c r="AH8" s="10"/>
      <c r="AI8" s="10"/>
    </row>
    <row r="9" spans="2:35">
      <c r="C9" t="s">
        <v>6</v>
      </c>
      <c r="D9" t="s">
        <v>7</v>
      </c>
      <c r="E9" s="4">
        <v>0.15</v>
      </c>
      <c r="F9" s="4">
        <f>E9</f>
        <v>0.15</v>
      </c>
      <c r="G9" s="4">
        <f t="shared" ref="G9:K23" si="4">F9</f>
        <v>0.15</v>
      </c>
      <c r="H9" s="4">
        <f t="shared" si="4"/>
        <v>0.15</v>
      </c>
      <c r="I9" s="4">
        <f t="shared" si="4"/>
        <v>0.15</v>
      </c>
      <c r="J9" s="4">
        <f t="shared" si="4"/>
        <v>0.15</v>
      </c>
      <c r="K9" s="4">
        <f t="shared" si="4"/>
        <v>0.15</v>
      </c>
      <c r="L9" s="2"/>
      <c r="M9" s="2"/>
      <c r="N9" s="2"/>
      <c r="O9" s="2"/>
      <c r="P9" s="2"/>
      <c r="Q9" s="2"/>
      <c r="W9" s="11">
        <v>0</v>
      </c>
      <c r="X9" s="11">
        <v>0</v>
      </c>
      <c r="Y9" s="11">
        <f>INDEX(Xw,1,$Z$6)</f>
        <v>1320</v>
      </c>
      <c r="Z9" s="11">
        <f>INDEX(Yw,1,$Z$6)</f>
        <v>330</v>
      </c>
      <c r="AA9" s="10">
        <f>Y9-INDEX(xf,1,$Z$6)</f>
        <v>1310</v>
      </c>
      <c r="AB9" s="10">
        <f>Z9</f>
        <v>330</v>
      </c>
      <c r="AC9" s="10"/>
      <c r="AD9" s="10"/>
      <c r="AE9" s="10"/>
      <c r="AF9" s="10"/>
      <c r="AG9" s="10"/>
      <c r="AH9" s="10"/>
      <c r="AI9" s="10"/>
    </row>
    <row r="10" spans="2:35">
      <c r="C10" t="s">
        <v>8</v>
      </c>
      <c r="D10" t="s">
        <v>9</v>
      </c>
      <c r="E10" s="4">
        <v>0.6</v>
      </c>
      <c r="F10" s="4">
        <f t="shared" ref="F10:F23" si="5">E10</f>
        <v>0.6</v>
      </c>
      <c r="G10" s="4">
        <f t="shared" si="4"/>
        <v>0.6</v>
      </c>
      <c r="H10" s="4">
        <f t="shared" si="4"/>
        <v>0.6</v>
      </c>
      <c r="I10" s="4">
        <f t="shared" si="4"/>
        <v>0.6</v>
      </c>
      <c r="J10" s="4">
        <f t="shared" si="4"/>
        <v>0.6</v>
      </c>
      <c r="K10" s="4">
        <f t="shared" si="4"/>
        <v>0.6</v>
      </c>
      <c r="L10" s="2"/>
      <c r="M10" s="2"/>
      <c r="N10" s="2"/>
      <c r="O10" s="2"/>
      <c r="P10" s="2"/>
      <c r="Q10" s="2"/>
      <c r="W10" s="11">
        <f>INDEX(Xe,1,$Z$6)</f>
        <v>2640</v>
      </c>
      <c r="X10" s="11">
        <v>0</v>
      </c>
      <c r="Y10" s="10"/>
      <c r="Z10" s="10"/>
      <c r="AA10" s="10">
        <f>Y9+INDEX(xf,1,$Z$6)</f>
        <v>1330</v>
      </c>
      <c r="AB10" s="10">
        <f>Z9</f>
        <v>330</v>
      </c>
      <c r="AC10" s="10"/>
      <c r="AD10" s="10"/>
      <c r="AE10" s="10"/>
      <c r="AF10" s="10"/>
      <c r="AG10" s="10"/>
      <c r="AH10" s="10"/>
      <c r="AI10" s="10"/>
    </row>
    <row r="11" spans="2:35">
      <c r="C11" t="s">
        <v>10</v>
      </c>
      <c r="D11" t="s">
        <v>11</v>
      </c>
      <c r="E11" s="4">
        <v>2.6999999999999999E-5</v>
      </c>
      <c r="F11" s="4">
        <f t="shared" si="5"/>
        <v>2.6999999999999999E-5</v>
      </c>
      <c r="G11" s="4">
        <f t="shared" si="4"/>
        <v>2.6999999999999999E-5</v>
      </c>
      <c r="H11" s="4">
        <f t="shared" si="4"/>
        <v>2.6999999999999999E-5</v>
      </c>
      <c r="I11" s="4">
        <f t="shared" si="4"/>
        <v>2.6999999999999999E-5</v>
      </c>
      <c r="J11" s="4">
        <f t="shared" si="4"/>
        <v>2.6999999999999999E-5</v>
      </c>
      <c r="K11" s="4">
        <f t="shared" si="4"/>
        <v>2.6999999999999999E-5</v>
      </c>
      <c r="L11" s="2"/>
      <c r="M11" s="2"/>
      <c r="N11" s="2"/>
      <c r="O11" s="2"/>
      <c r="P11" s="2"/>
      <c r="Q11" s="2"/>
      <c r="W11" s="11">
        <f>W10</f>
        <v>2640</v>
      </c>
      <c r="X11" s="11">
        <f>INDEX(Ye,1,$Z$6)</f>
        <v>660</v>
      </c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</row>
    <row r="12" spans="2:35">
      <c r="C12" t="s">
        <v>12</v>
      </c>
      <c r="D12" t="s">
        <v>13</v>
      </c>
      <c r="E12" s="4">
        <v>1.3</v>
      </c>
      <c r="F12" s="4">
        <f t="shared" si="5"/>
        <v>1.3</v>
      </c>
      <c r="G12" s="4">
        <f t="shared" si="4"/>
        <v>1.3</v>
      </c>
      <c r="H12" s="4">
        <f t="shared" si="4"/>
        <v>1.3</v>
      </c>
      <c r="I12" s="4">
        <f t="shared" si="4"/>
        <v>1.3</v>
      </c>
      <c r="J12" s="4">
        <f t="shared" si="4"/>
        <v>1.3</v>
      </c>
      <c r="K12" s="4">
        <f t="shared" si="4"/>
        <v>1.3</v>
      </c>
      <c r="L12" s="2"/>
      <c r="M12" s="2"/>
      <c r="N12" s="2"/>
      <c r="O12" s="2"/>
      <c r="P12" s="2"/>
      <c r="Q12" s="2"/>
      <c r="W12" s="11">
        <v>0</v>
      </c>
      <c r="X12" s="11">
        <f>X11</f>
        <v>660</v>
      </c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</row>
    <row r="13" spans="2:35">
      <c r="C13" t="s">
        <v>14</v>
      </c>
      <c r="D13" t="s">
        <v>15</v>
      </c>
      <c r="E13" s="4">
        <v>12</v>
      </c>
      <c r="F13" s="4">
        <f t="shared" si="5"/>
        <v>12</v>
      </c>
      <c r="G13" s="4">
        <f t="shared" si="4"/>
        <v>12</v>
      </c>
      <c r="H13" s="4">
        <f t="shared" si="4"/>
        <v>12</v>
      </c>
      <c r="I13" s="4">
        <f t="shared" si="4"/>
        <v>12</v>
      </c>
      <c r="J13" s="4">
        <f t="shared" si="4"/>
        <v>12</v>
      </c>
      <c r="K13" s="4">
        <f t="shared" si="4"/>
        <v>12</v>
      </c>
      <c r="L13" s="2"/>
      <c r="M13" s="2"/>
      <c r="N13" s="2"/>
      <c r="O13" s="2"/>
      <c r="P13" s="2"/>
      <c r="Q13" s="2"/>
      <c r="W13" s="11">
        <v>0</v>
      </c>
      <c r="X13" s="11">
        <v>0</v>
      </c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</row>
    <row r="14" spans="2:35">
      <c r="C14" t="s">
        <v>29</v>
      </c>
      <c r="D14" t="s">
        <v>15</v>
      </c>
      <c r="E14" s="4">
        <v>0.32800000000000001</v>
      </c>
      <c r="F14" s="4">
        <f t="shared" si="5"/>
        <v>0.32800000000000001</v>
      </c>
      <c r="G14" s="4">
        <f t="shared" si="4"/>
        <v>0.32800000000000001</v>
      </c>
      <c r="H14" s="4">
        <f t="shared" si="4"/>
        <v>0.32800000000000001</v>
      </c>
      <c r="I14" s="4">
        <f t="shared" si="4"/>
        <v>0.32800000000000001</v>
      </c>
      <c r="J14" s="4">
        <f t="shared" si="4"/>
        <v>0.32800000000000001</v>
      </c>
      <c r="K14" s="4">
        <f t="shared" si="4"/>
        <v>0.32800000000000001</v>
      </c>
      <c r="L14" s="2"/>
      <c r="M14" s="2"/>
      <c r="N14" s="2"/>
      <c r="O14" s="2"/>
      <c r="P14" s="2"/>
      <c r="Q14" s="2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</row>
    <row r="15" spans="2:35">
      <c r="C15" t="s">
        <v>16</v>
      </c>
      <c r="D15" t="s">
        <v>15</v>
      </c>
      <c r="E15" s="4">
        <v>10</v>
      </c>
      <c r="F15" s="4">
        <v>10</v>
      </c>
      <c r="G15" s="4">
        <v>10</v>
      </c>
      <c r="H15" s="4">
        <v>10</v>
      </c>
      <c r="I15" s="4">
        <v>10</v>
      </c>
      <c r="J15" s="4">
        <v>10</v>
      </c>
      <c r="K15" s="4">
        <v>10</v>
      </c>
      <c r="L15" s="2"/>
      <c r="M15" s="2"/>
      <c r="N15" s="2"/>
      <c r="O15" s="2"/>
      <c r="P15" s="2"/>
      <c r="Q15" s="2"/>
      <c r="W15" s="12" t="s">
        <v>32</v>
      </c>
      <c r="X15" s="11">
        <f>W11*X11/43560</f>
        <v>40</v>
      </c>
      <c r="Y15" s="12" t="s">
        <v>45</v>
      </c>
      <c r="Z15" s="10"/>
      <c r="AA15" s="10"/>
      <c r="AB15" s="10"/>
      <c r="AC15" s="10"/>
      <c r="AD15" s="10"/>
      <c r="AE15" s="10"/>
      <c r="AF15" s="10"/>
      <c r="AG15" s="10"/>
      <c r="AH15" s="10"/>
      <c r="AI15" s="10"/>
    </row>
    <row r="16" spans="2:35">
      <c r="C16" t="s">
        <v>17</v>
      </c>
      <c r="D16" t="s">
        <v>15</v>
      </c>
      <c r="E16" s="15">
        <f>E5</f>
        <v>1320</v>
      </c>
      <c r="F16" s="15">
        <f t="shared" ref="F16:K16" si="6">F5</f>
        <v>1524.2047106606119</v>
      </c>
      <c r="G16" s="15">
        <f t="shared" si="6"/>
        <v>1866.7619023324855</v>
      </c>
      <c r="H16" s="15">
        <f t="shared" si="6"/>
        <v>2640</v>
      </c>
      <c r="I16" s="15">
        <f t="shared" si="6"/>
        <v>3733.5238046649711</v>
      </c>
      <c r="J16" s="15">
        <f t="shared" si="6"/>
        <v>5280</v>
      </c>
      <c r="K16" s="15">
        <f t="shared" si="6"/>
        <v>7467.0476093299421</v>
      </c>
      <c r="L16" s="2"/>
      <c r="M16" s="2"/>
      <c r="N16" s="2"/>
      <c r="O16" s="2"/>
      <c r="P16" s="2"/>
      <c r="Q16" s="2"/>
      <c r="W16" s="10" t="str">
        <f>"Model Geometry &amp; Well Location" &amp;CHAR(13)&amp; "Area: " &amp; ROUND(X15,0) &amp; "Acres"</f>
        <v>Model Geometry &amp; Well Location_x000D_Area: 40Acres</v>
      </c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</row>
    <row r="17" spans="1:35">
      <c r="C17" t="s">
        <v>18</v>
      </c>
      <c r="D17" t="s">
        <v>15</v>
      </c>
      <c r="E17" s="15">
        <f>E16*E1</f>
        <v>1320</v>
      </c>
      <c r="F17" s="15">
        <f t="shared" ref="F17:K17" si="7">F16*F1</f>
        <v>1143.153532995459</v>
      </c>
      <c r="G17" s="15">
        <f t="shared" si="7"/>
        <v>933.38095116624277</v>
      </c>
      <c r="H17" s="15">
        <f t="shared" si="7"/>
        <v>660</v>
      </c>
      <c r="I17" s="15">
        <f t="shared" si="7"/>
        <v>466.69047558312138</v>
      </c>
      <c r="J17" s="15">
        <f t="shared" si="7"/>
        <v>330</v>
      </c>
      <c r="K17" s="15">
        <f t="shared" si="7"/>
        <v>233.34523779156069</v>
      </c>
      <c r="L17" s="2"/>
      <c r="M17" s="2"/>
      <c r="N17" s="2"/>
      <c r="O17" s="2"/>
      <c r="P17" s="2"/>
      <c r="Q17" s="2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</row>
    <row r="18" spans="1:35">
      <c r="C18" t="s">
        <v>19</v>
      </c>
      <c r="D18" t="s">
        <v>15</v>
      </c>
      <c r="E18" s="4">
        <f t="shared" ref="E18:K18" si="8">Xe/2</f>
        <v>660</v>
      </c>
      <c r="F18" s="4">
        <f t="shared" si="8"/>
        <v>762.10235533030595</v>
      </c>
      <c r="G18" s="4">
        <f t="shared" si="8"/>
        <v>933.38095116624277</v>
      </c>
      <c r="H18" s="4">
        <f t="shared" si="8"/>
        <v>1320</v>
      </c>
      <c r="I18" s="4">
        <f t="shared" si="8"/>
        <v>1866.7619023324855</v>
      </c>
      <c r="J18" s="4">
        <f t="shared" si="8"/>
        <v>2640</v>
      </c>
      <c r="K18" s="4">
        <f t="shared" si="8"/>
        <v>3733.5238046649711</v>
      </c>
      <c r="L18" s="2"/>
      <c r="M18" s="2"/>
      <c r="N18" s="2"/>
      <c r="O18" s="2"/>
      <c r="P18" s="2"/>
      <c r="Q18" s="2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</row>
    <row r="19" spans="1:35">
      <c r="C19" t="s">
        <v>20</v>
      </c>
      <c r="D19" t="s">
        <v>15</v>
      </c>
      <c r="E19" s="4">
        <f t="shared" ref="E19:K19" si="9">Ye/2</f>
        <v>660</v>
      </c>
      <c r="F19" s="4">
        <f t="shared" si="9"/>
        <v>571.57676649772952</v>
      </c>
      <c r="G19" s="4">
        <f t="shared" si="9"/>
        <v>466.69047558312138</v>
      </c>
      <c r="H19" s="4">
        <f t="shared" si="9"/>
        <v>330</v>
      </c>
      <c r="I19" s="4">
        <f t="shared" si="9"/>
        <v>233.34523779156069</v>
      </c>
      <c r="J19" s="4">
        <f t="shared" si="9"/>
        <v>165</v>
      </c>
      <c r="K19" s="4">
        <f t="shared" si="9"/>
        <v>116.67261889578035</v>
      </c>
      <c r="L19" s="2"/>
      <c r="M19" s="2"/>
      <c r="N19" s="2"/>
      <c r="O19" s="2"/>
      <c r="P19" s="2"/>
      <c r="Q19" s="2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</row>
    <row r="20" spans="1:35">
      <c r="C20" t="s">
        <v>21</v>
      </c>
      <c r="E20" s="4">
        <v>0</v>
      </c>
      <c r="F20" s="4">
        <f>E20</f>
        <v>0</v>
      </c>
      <c r="G20" s="4">
        <f t="shared" si="4"/>
        <v>0</v>
      </c>
      <c r="H20" s="4">
        <f t="shared" si="4"/>
        <v>0</v>
      </c>
      <c r="I20" s="4">
        <f t="shared" si="4"/>
        <v>0</v>
      </c>
      <c r="J20" s="4">
        <f t="shared" si="4"/>
        <v>0</v>
      </c>
      <c r="K20" s="4">
        <f t="shared" si="4"/>
        <v>0</v>
      </c>
      <c r="L20" s="2"/>
      <c r="M20" s="2"/>
      <c r="N20" s="2"/>
      <c r="O20" s="2"/>
      <c r="P20" s="2"/>
      <c r="Q20" s="2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</row>
    <row r="21" spans="1:35">
      <c r="C21" t="s">
        <v>22</v>
      </c>
      <c r="E21" s="4">
        <v>0</v>
      </c>
      <c r="F21" s="4">
        <f t="shared" si="5"/>
        <v>0</v>
      </c>
      <c r="G21" s="4">
        <f t="shared" si="4"/>
        <v>0</v>
      </c>
      <c r="H21" s="4">
        <f t="shared" si="4"/>
        <v>0</v>
      </c>
      <c r="I21" s="4">
        <f t="shared" si="4"/>
        <v>0</v>
      </c>
      <c r="J21" s="4">
        <f t="shared" si="4"/>
        <v>0</v>
      </c>
      <c r="K21" s="4">
        <f t="shared" si="4"/>
        <v>0</v>
      </c>
      <c r="L21" s="2"/>
      <c r="M21" s="2"/>
      <c r="N21" s="2"/>
      <c r="O21" s="2"/>
      <c r="P21" s="2"/>
      <c r="Q21" s="2"/>
    </row>
    <row r="22" spans="1:35">
      <c r="C22" t="s">
        <v>23</v>
      </c>
      <c r="D22" t="s">
        <v>24</v>
      </c>
      <c r="E22" s="4">
        <v>1</v>
      </c>
      <c r="F22" s="4">
        <f t="shared" si="5"/>
        <v>1</v>
      </c>
      <c r="G22" s="4">
        <f t="shared" si="4"/>
        <v>1</v>
      </c>
      <c r="H22" s="4">
        <f t="shared" si="4"/>
        <v>1</v>
      </c>
      <c r="I22" s="4">
        <f t="shared" si="4"/>
        <v>1</v>
      </c>
      <c r="J22" s="4">
        <f t="shared" si="4"/>
        <v>1</v>
      </c>
      <c r="K22" s="4">
        <f t="shared" si="4"/>
        <v>1</v>
      </c>
      <c r="L22" s="2"/>
      <c r="M22" s="2"/>
      <c r="N22" s="2"/>
      <c r="O22" s="2"/>
      <c r="P22" s="2"/>
      <c r="Q22" s="2"/>
    </row>
    <row r="23" spans="1:35">
      <c r="C23" t="s">
        <v>25</v>
      </c>
      <c r="D23" t="s">
        <v>24</v>
      </c>
      <c r="E23" s="4">
        <v>1</v>
      </c>
      <c r="F23" s="4">
        <f t="shared" si="5"/>
        <v>1</v>
      </c>
      <c r="G23" s="4">
        <f t="shared" si="4"/>
        <v>1</v>
      </c>
      <c r="H23" s="4">
        <f t="shared" si="4"/>
        <v>1</v>
      </c>
      <c r="I23" s="4">
        <f t="shared" si="4"/>
        <v>1</v>
      </c>
      <c r="J23" s="4">
        <f t="shared" si="4"/>
        <v>1</v>
      </c>
      <c r="K23" s="4">
        <f t="shared" si="4"/>
        <v>1</v>
      </c>
      <c r="L23" s="2"/>
      <c r="M23" s="2"/>
      <c r="N23" s="2"/>
      <c r="O23" s="2"/>
      <c r="P23" s="2"/>
      <c r="Q23" s="2"/>
    </row>
    <row r="24" spans="1:35">
      <c r="B24" s="3">
        <v>5.5E-2</v>
      </c>
      <c r="C24" t="s">
        <v>30</v>
      </c>
      <c r="E24" s="7">
        <f>E14*EXP(-E20)</f>
        <v>0.32800000000000001</v>
      </c>
      <c r="F24" s="7">
        <f t="shared" ref="F24:K24" si="10">F14*EXP(-F20)</f>
        <v>0.32800000000000001</v>
      </c>
      <c r="G24" s="7">
        <f t="shared" si="10"/>
        <v>0.32800000000000001</v>
      </c>
      <c r="H24" s="7">
        <f t="shared" si="10"/>
        <v>0.32800000000000001</v>
      </c>
      <c r="I24" s="7">
        <f t="shared" si="10"/>
        <v>0.32800000000000001</v>
      </c>
      <c r="J24" s="7">
        <f t="shared" si="10"/>
        <v>0.32800000000000001</v>
      </c>
      <c r="K24" s="7">
        <f t="shared" si="10"/>
        <v>0.32800000000000001</v>
      </c>
    </row>
    <row r="25" spans="1:35" ht="28.8">
      <c r="A25" s="6" t="s">
        <v>28</v>
      </c>
      <c r="B25" s="6" t="s">
        <v>27</v>
      </c>
      <c r="C25" s="6"/>
      <c r="D25" s="6" t="s">
        <v>26</v>
      </c>
      <c r="E25" s="16"/>
      <c r="F25" s="16"/>
      <c r="G25" s="16"/>
      <c r="H25" s="16"/>
      <c r="I25" s="16"/>
      <c r="J25" s="16"/>
      <c r="K25" s="16"/>
    </row>
    <row r="26" spans="1:35">
      <c r="A26" s="3">
        <f t="shared" ref="A26:A89" si="11">D26/365</f>
        <v>2.176241738970634E-3</v>
      </c>
      <c r="B26" s="4">
        <v>-0.1</v>
      </c>
      <c r="C26">
        <f>10^B26</f>
        <v>0.79432823472428149</v>
      </c>
      <c r="D26" s="5">
        <f>10^B26</f>
        <v>0.79432823472428149</v>
      </c>
      <c r="E26" s="5">
        <f t="array" ref="E26:E106">qVSqNFB($D$26:$D$106,E$6,E$7,E$8,E$9,E$10,E$11,E$12,E$13,E$14,E$15,E$16,E$17,E$18,E$19,E$20,E$21,E$22,E$23)</f>
        <v>45.169766388101984</v>
      </c>
      <c r="F26" s="5">
        <f t="array" ref="F26:F106">qVSqNFB($D$26:$D$106,F$6,F$7,F$8,F$9,F$10,F$11,F$12,F$13,F$14,F$15,F$16,F$17,F$18,F$19,F$20,F$21,F$22,F$23)</f>
        <v>45.169766388101984</v>
      </c>
      <c r="G26" s="5">
        <f t="array" ref="G26:G106">qVSqNFB($D$26:$D$106,G$6,G$7,G$8,G$9,G$10,G$11,G$12,G$13,G$14,G$15,G$16,G$17,G$18,G$19,G$20,G$21,G$22,G$23)</f>
        <v>45.169766388101984</v>
      </c>
      <c r="H26" s="5">
        <f t="array" ref="H26:H106">qVSqNFB($D$26:$D$106,H$6,H$7,H$8,H$9,H$10,H$11,H$12,H$13,H$14,H$15,H$16,H$17,H$18,H$19,H$20,H$21,H$22,H$23)</f>
        <v>45.168661148583574</v>
      </c>
      <c r="I26" s="5">
        <f t="array" ref="I26:I106">qVSqNFB($D$26:$D$106,I$6,I$7,I$8,I$9,I$10,I$11,I$12,I$13,I$14,I$15,I$16,I$17,I$18,I$19,I$20,I$21,I$22,I$23)</f>
        <v>45.169113875212467</v>
      </c>
      <c r="J26" s="5">
        <f t="array" ref="J26:J106">qVSqNFB($D$26:$D$106,J$6,J$7,J$8,J$9,J$10,J$11,J$12,J$13,J$14,J$15,J$16,J$17,J$18,J$19,J$20,J$21,J$22,J$23)</f>
        <v>45.136514401983007</v>
      </c>
      <c r="K26" s="5">
        <f t="array" ref="K26:K106">qVSqNFB($D$26:$D$106,K$6,K$7,K$8,K$9,K$10,K$11,K$12,K$13,K$14,K$15,K$16,K$17,K$18,K$19,K$20,K$21,K$22,K$23)</f>
        <v>44.888190336827201</v>
      </c>
    </row>
    <row r="27" spans="1:35">
      <c r="A27" s="3">
        <f t="shared" si="11"/>
        <v>2.4700579112491971E-3</v>
      </c>
      <c r="B27" s="3">
        <f>B26+$B$24</f>
        <v>-4.5000000000000005E-2</v>
      </c>
      <c r="D27" s="5">
        <f t="shared" ref="D27:D90" si="12">10^B27</f>
        <v>0.90157113760595697</v>
      </c>
      <c r="E27" s="5">
        <v>44.328005524645896</v>
      </c>
      <c r="F27" s="5">
        <v>44.328005524645896</v>
      </c>
      <c r="G27" s="5">
        <v>44.328003534419267</v>
      </c>
      <c r="H27" s="5">
        <v>44.339182128895189</v>
      </c>
      <c r="I27" s="5">
        <v>44.336484906090654</v>
      </c>
      <c r="J27" s="5">
        <v>44.323282352691223</v>
      </c>
      <c r="K27" s="5">
        <v>43.886456780736545</v>
      </c>
    </row>
    <row r="28" spans="1:35">
      <c r="A28" s="3">
        <f t="shared" si="11"/>
        <v>2.8035424446048057E-3</v>
      </c>
      <c r="B28" s="3">
        <f t="shared" ref="B28:B91" si="13">B27+$B$24</f>
        <v>9.999999999999995E-3</v>
      </c>
      <c r="D28" s="5">
        <f t="shared" si="12"/>
        <v>1.0232929922807541</v>
      </c>
      <c r="E28" s="5">
        <v>43.515204740651555</v>
      </c>
      <c r="F28" s="5">
        <v>43.515204740651555</v>
      </c>
      <c r="G28" s="5">
        <v>43.51520649419264</v>
      </c>
      <c r="H28" s="5">
        <v>43.49165492634561</v>
      </c>
      <c r="I28" s="5">
        <v>43.526916435694048</v>
      </c>
      <c r="J28" s="5">
        <v>43.507567752691223</v>
      </c>
      <c r="K28" s="5">
        <v>42.788886152407933</v>
      </c>
    </row>
    <row r="29" spans="1:35">
      <c r="A29" s="3">
        <f t="shared" si="11"/>
        <v>3.182050996822857E-3</v>
      </c>
      <c r="B29" s="3">
        <f t="shared" si="13"/>
        <v>6.5000000000000002E-2</v>
      </c>
      <c r="D29" s="5">
        <f t="shared" si="12"/>
        <v>1.1614486138403428</v>
      </c>
      <c r="E29" s="5">
        <v>42.729885712889519</v>
      </c>
      <c r="F29" s="5">
        <v>42.729885712889519</v>
      </c>
      <c r="G29" s="5">
        <v>42.729853269546744</v>
      </c>
      <c r="H29" s="5">
        <v>42.728542870113316</v>
      </c>
      <c r="I29" s="5">
        <v>42.748611530169974</v>
      </c>
      <c r="J29" s="5">
        <v>42.633378666572234</v>
      </c>
      <c r="K29" s="5">
        <v>41.816543251558073</v>
      </c>
    </row>
    <row r="30" spans="1:35">
      <c r="A30" s="3">
        <f t="shared" si="11"/>
        <v>3.6116622974148144E-3</v>
      </c>
      <c r="B30" s="3">
        <f t="shared" si="13"/>
        <v>0.12</v>
      </c>
      <c r="D30" s="5">
        <f t="shared" si="12"/>
        <v>1.3182567385564072</v>
      </c>
      <c r="E30" s="5">
        <v>41.970801188526913</v>
      </c>
      <c r="F30" s="5">
        <v>41.970801188526913</v>
      </c>
      <c r="G30" s="5">
        <v>41.970664392351274</v>
      </c>
      <c r="H30" s="5">
        <v>41.970302062322951</v>
      </c>
      <c r="I30" s="5">
        <v>41.952126667563739</v>
      </c>
      <c r="J30" s="5">
        <v>41.860086167988676</v>
      </c>
      <c r="K30" s="5">
        <v>40.721441650000003</v>
      </c>
    </row>
    <row r="31" spans="1:35">
      <c r="A31" s="3">
        <f t="shared" si="11"/>
        <v>4.0992757701217358E-3</v>
      </c>
      <c r="B31" s="3">
        <f t="shared" si="13"/>
        <v>0.17499999999999999</v>
      </c>
      <c r="D31" s="5">
        <f t="shared" si="12"/>
        <v>1.4962356560944334</v>
      </c>
      <c r="E31" s="5">
        <v>41.236743467563741</v>
      </c>
      <c r="F31" s="5">
        <v>41.236743467563741</v>
      </c>
      <c r="G31" s="5">
        <v>41.237317094900853</v>
      </c>
      <c r="H31" s="5">
        <v>41.250110675920681</v>
      </c>
      <c r="I31" s="5">
        <v>41.239640922804533</v>
      </c>
      <c r="J31" s="5">
        <v>41.052523396033997</v>
      </c>
      <c r="K31" s="5">
        <v>39.656562094900849</v>
      </c>
    </row>
    <row r="32" spans="1:35">
      <c r="A32" s="3">
        <f t="shared" si="11"/>
        <v>4.6527223355116287E-3</v>
      </c>
      <c r="B32" s="3">
        <f t="shared" si="13"/>
        <v>0.22999999999999998</v>
      </c>
      <c r="D32" s="5">
        <f t="shared" si="12"/>
        <v>1.6982436524617444</v>
      </c>
      <c r="E32" s="5">
        <v>40.526563059065161</v>
      </c>
      <c r="F32" s="5">
        <v>40.526562002407935</v>
      </c>
      <c r="G32" s="5">
        <v>40.524646890509921</v>
      </c>
      <c r="H32" s="5">
        <v>40.523864280028327</v>
      </c>
      <c r="I32" s="5">
        <v>40.524333026203969</v>
      </c>
      <c r="J32" s="5">
        <v>40.237556345042499</v>
      </c>
      <c r="K32" s="5">
        <v>38.546194021954676</v>
      </c>
    </row>
    <row r="33" spans="1:11">
      <c r="A33" s="3">
        <f t="shared" si="11"/>
        <v>5.280890173125853E-3</v>
      </c>
      <c r="B33" s="3">
        <f t="shared" si="13"/>
        <v>0.28499999999999998</v>
      </c>
      <c r="D33" s="5">
        <f t="shared" si="12"/>
        <v>1.9275249131909362</v>
      </c>
      <c r="E33" s="5">
        <v>39.839160468413603</v>
      </c>
      <c r="F33" s="5">
        <v>39.839146504815865</v>
      </c>
      <c r="G33" s="5">
        <v>39.836204255382434</v>
      </c>
      <c r="H33" s="5">
        <v>39.83512229929179</v>
      </c>
      <c r="I33" s="5">
        <v>39.811199313031167</v>
      </c>
      <c r="J33" s="5">
        <v>39.384601902266297</v>
      </c>
      <c r="K33" s="5">
        <v>37.389993027762038</v>
      </c>
    </row>
    <row r="34" spans="1:11">
      <c r="A34" s="3">
        <f t="shared" si="11"/>
        <v>5.9938674628754861E-3</v>
      </c>
      <c r="B34" s="3">
        <f t="shared" si="13"/>
        <v>0.33999999999999997</v>
      </c>
      <c r="D34" s="5">
        <f t="shared" si="12"/>
        <v>2.1877616239495525</v>
      </c>
      <c r="E34" s="5">
        <v>39.1735265154391</v>
      </c>
      <c r="F34" s="5">
        <v>39.173583774079319</v>
      </c>
      <c r="G34" s="5">
        <v>39.178685535410764</v>
      </c>
      <c r="H34" s="5">
        <v>39.175028226062324</v>
      </c>
      <c r="I34" s="5">
        <v>39.128449091501423</v>
      </c>
      <c r="J34" s="5">
        <v>38.555453750708217</v>
      </c>
      <c r="K34" s="5">
        <v>36.272939198866858</v>
      </c>
    </row>
    <row r="35" spans="1:11">
      <c r="A35" s="3">
        <f t="shared" si="11"/>
        <v>6.8031043980700551E-3</v>
      </c>
      <c r="B35" s="3">
        <f t="shared" si="13"/>
        <v>0.39499999999999996</v>
      </c>
      <c r="D35" s="5">
        <f t="shared" si="12"/>
        <v>2.4831331052955701</v>
      </c>
      <c r="E35" s="5">
        <v>38.528708304815865</v>
      </c>
      <c r="F35" s="5">
        <v>38.528498833994334</v>
      </c>
      <c r="G35" s="5">
        <v>38.528147717563741</v>
      </c>
      <c r="H35" s="5">
        <v>38.530911479036831</v>
      </c>
      <c r="I35" s="5">
        <v>38.455543900566575</v>
      </c>
      <c r="J35" s="5">
        <v>37.677061366997172</v>
      </c>
      <c r="K35" s="5">
        <v>35.110174482577904</v>
      </c>
    </row>
    <row r="36" spans="1:11">
      <c r="A36" s="3">
        <f t="shared" si="11"/>
        <v>7.7215970719574072E-3</v>
      </c>
      <c r="B36" s="3">
        <f t="shared" si="13"/>
        <v>0.44999999999999996</v>
      </c>
      <c r="D36" s="5">
        <f t="shared" si="12"/>
        <v>2.8183829312644537</v>
      </c>
      <c r="E36" s="5">
        <v>37.903741392917851</v>
      </c>
      <c r="F36" s="5">
        <v>37.904263059348445</v>
      </c>
      <c r="G36" s="5">
        <v>37.902362822804534</v>
      </c>
      <c r="H36" s="5">
        <v>37.89901181203966</v>
      </c>
      <c r="I36" s="5">
        <v>37.786909323796031</v>
      </c>
      <c r="J36" s="5">
        <v>36.807860832436262</v>
      </c>
      <c r="K36" s="5">
        <v>33.943465351841361</v>
      </c>
    </row>
    <row r="37" spans="1:11">
      <c r="A37" s="3">
        <f t="shared" si="11"/>
        <v>8.7640961909353377E-3</v>
      </c>
      <c r="B37" s="3">
        <f t="shared" si="13"/>
        <v>0.505</v>
      </c>
      <c r="D37" s="5">
        <f t="shared" si="12"/>
        <v>3.198895109691398</v>
      </c>
      <c r="E37" s="5">
        <v>37.297861391359781</v>
      </c>
      <c r="F37" s="5">
        <v>37.296791016430596</v>
      </c>
      <c r="G37" s="5">
        <v>37.298379495184143</v>
      </c>
      <c r="H37" s="5">
        <v>37.292663936968843</v>
      </c>
      <c r="I37" s="5">
        <v>37.102425326203964</v>
      </c>
      <c r="J37" s="5">
        <v>35.889843256798869</v>
      </c>
      <c r="K37" s="5">
        <v>32.796023584844193</v>
      </c>
    </row>
    <row r="38" spans="1:11">
      <c r="A38" s="3">
        <f t="shared" si="11"/>
        <v>9.9473439663041487E-3</v>
      </c>
      <c r="B38" s="3">
        <f t="shared" si="13"/>
        <v>0.56000000000000005</v>
      </c>
      <c r="D38" s="5">
        <f t="shared" si="12"/>
        <v>3.630780547701014</v>
      </c>
      <c r="E38" s="5">
        <v>36.707673027053829</v>
      </c>
      <c r="F38" s="5">
        <v>36.707127366713884</v>
      </c>
      <c r="G38" s="5">
        <v>36.715900214872526</v>
      </c>
      <c r="H38" s="5">
        <v>36.691661923654387</v>
      </c>
      <c r="I38" s="5">
        <v>36.446007043201135</v>
      </c>
      <c r="J38" s="5">
        <v>34.908251427053827</v>
      </c>
      <c r="K38" s="5">
        <v>31.565748713456092</v>
      </c>
    </row>
    <row r="39" spans="1:11">
      <c r="A39" s="3">
        <f t="shared" si="11"/>
        <v>1.1290342988967954E-2</v>
      </c>
      <c r="B39" s="3">
        <f t="shared" si="13"/>
        <v>0.6150000000000001</v>
      </c>
      <c r="D39" s="5">
        <f t="shared" si="12"/>
        <v>4.1209751909733034</v>
      </c>
      <c r="E39" s="5">
        <v>36.137463952407934</v>
      </c>
      <c r="F39" s="5">
        <v>36.137792624929176</v>
      </c>
      <c r="G39" s="5">
        <v>36.144451282294618</v>
      </c>
      <c r="H39" s="5">
        <v>36.111708116997171</v>
      </c>
      <c r="I39" s="5">
        <v>35.753435905807365</v>
      </c>
      <c r="J39" s="5">
        <v>33.958912266147308</v>
      </c>
      <c r="K39" s="5">
        <v>30.441558254815867</v>
      </c>
    </row>
    <row r="40" spans="1:11">
      <c r="A40" s="3">
        <f t="shared" si="11"/>
        <v>1.2814661405128724E-2</v>
      </c>
      <c r="B40" s="3">
        <f t="shared" si="13"/>
        <v>0.67000000000000015</v>
      </c>
      <c r="D40" s="5">
        <f t="shared" si="12"/>
        <v>4.6773514128719844</v>
      </c>
      <c r="E40" s="5">
        <v>35.583774216713884</v>
      </c>
      <c r="F40" s="5">
        <v>35.584028778186976</v>
      </c>
      <c r="G40" s="5">
        <v>35.591911614022663</v>
      </c>
      <c r="H40" s="5">
        <v>35.535806611614731</v>
      </c>
      <c r="I40" s="5">
        <v>35.03446968711048</v>
      </c>
      <c r="J40" s="5">
        <v>32.991954798866857</v>
      </c>
      <c r="K40" s="5">
        <v>29.345076756090652</v>
      </c>
    </row>
    <row r="41" spans="1:11">
      <c r="A41" s="3">
        <f t="shared" si="11"/>
        <v>1.454477929399969E-2</v>
      </c>
      <c r="B41" s="3">
        <f t="shared" si="13"/>
        <v>0.7250000000000002</v>
      </c>
      <c r="D41" s="5">
        <f t="shared" si="12"/>
        <v>5.3088444423098871</v>
      </c>
      <c r="E41" s="5">
        <v>35.046495396600569</v>
      </c>
      <c r="F41" s="5">
        <v>35.046601254674222</v>
      </c>
      <c r="G41" s="5">
        <v>35.053050704532581</v>
      </c>
      <c r="H41" s="5">
        <v>34.967567466288955</v>
      </c>
      <c r="I41" s="5">
        <v>34.297806298866853</v>
      </c>
      <c r="J41" s="5">
        <v>32.020517157790366</v>
      </c>
      <c r="K41" s="5">
        <v>28.269144607507084</v>
      </c>
    </row>
    <row r="42" spans="1:11">
      <c r="A42" s="3">
        <f t="shared" si="11"/>
        <v>1.6508481810256388E-2</v>
      </c>
      <c r="B42" s="3">
        <f t="shared" si="13"/>
        <v>0.78000000000000025</v>
      </c>
      <c r="D42" s="5">
        <f t="shared" si="12"/>
        <v>6.0255958607435822</v>
      </c>
      <c r="E42" s="5">
        <v>34.524511194900853</v>
      </c>
      <c r="F42" s="5">
        <v>34.524240520821536</v>
      </c>
      <c r="G42" s="5">
        <v>34.528941685977337</v>
      </c>
      <c r="H42" s="5">
        <v>34.400454969405104</v>
      </c>
      <c r="I42" s="5">
        <v>33.539907117705383</v>
      </c>
      <c r="J42" s="5">
        <v>31.027975075212467</v>
      </c>
      <c r="K42" s="5">
        <v>27.222621937252125</v>
      </c>
    </row>
    <row r="43" spans="1:11">
      <c r="A43" s="3">
        <f t="shared" si="11"/>
        <v>1.8737305404970685E-2</v>
      </c>
      <c r="B43" s="3">
        <f t="shared" si="13"/>
        <v>0.8350000000000003</v>
      </c>
      <c r="D43" s="5">
        <f t="shared" si="12"/>
        <v>6.8391164728142995</v>
      </c>
      <c r="E43" s="5">
        <v>34.017015917705386</v>
      </c>
      <c r="F43" s="5">
        <v>34.016730569263459</v>
      </c>
      <c r="G43" s="5">
        <v>34.017992294617564</v>
      </c>
      <c r="H43" s="5">
        <v>33.825037384419261</v>
      </c>
      <c r="I43" s="5">
        <v>32.76079434107649</v>
      </c>
      <c r="J43" s="5">
        <v>30.044073770254958</v>
      </c>
      <c r="K43" s="5">
        <v>26.211388644192638</v>
      </c>
    </row>
    <row r="44" spans="1:11">
      <c r="A44" s="3">
        <f t="shared" si="11"/>
        <v>2.1267044291197051E-2</v>
      </c>
      <c r="B44" s="3">
        <f t="shared" si="13"/>
        <v>0.89000000000000035</v>
      </c>
      <c r="D44" s="5">
        <f t="shared" si="12"/>
        <v>7.7624711662869235</v>
      </c>
      <c r="E44" s="5">
        <v>33.523854063456092</v>
      </c>
      <c r="F44" s="5">
        <v>33.523153358640229</v>
      </c>
      <c r="G44" s="5">
        <v>33.517938638668561</v>
      </c>
      <c r="H44" s="5">
        <v>33.240269999291783</v>
      </c>
      <c r="I44" s="5">
        <v>31.961441241501419</v>
      </c>
      <c r="J44" s="5">
        <v>29.071396280736543</v>
      </c>
      <c r="K44" s="5">
        <v>25.237972044759207</v>
      </c>
    </row>
    <row r="45" spans="1:11">
      <c r="A45" s="3">
        <f t="shared" si="11"/>
        <v>2.4138325287890828E-2</v>
      </c>
      <c r="B45" s="3">
        <f t="shared" si="13"/>
        <v>0.9450000000000004</v>
      </c>
      <c r="D45" s="5">
        <f t="shared" si="12"/>
        <v>8.8104887300801522</v>
      </c>
      <c r="E45" s="5">
        <v>33.044004802407933</v>
      </c>
      <c r="F45" s="5">
        <v>33.042444373937677</v>
      </c>
      <c r="G45" s="5">
        <v>33.025956672096321</v>
      </c>
      <c r="H45" s="5">
        <v>32.641887846033995</v>
      </c>
      <c r="I45" s="5">
        <v>31.144253331586405</v>
      </c>
      <c r="J45" s="5">
        <v>28.095811998583571</v>
      </c>
      <c r="K45" s="5">
        <v>24.304570358498584</v>
      </c>
    </row>
    <row r="46" spans="1:11">
      <c r="A46" s="3">
        <f t="shared" si="11"/>
        <v>2.7397260273972632E-2</v>
      </c>
      <c r="B46" s="3">
        <f t="shared" si="13"/>
        <v>1.0000000000000004</v>
      </c>
      <c r="D46" s="5">
        <f t="shared" si="12"/>
        <v>10.000000000000011</v>
      </c>
      <c r="E46" s="5">
        <v>32.576827677337114</v>
      </c>
      <c r="F46" s="5">
        <v>32.573323101558074</v>
      </c>
      <c r="G46" s="5">
        <v>32.538889593767706</v>
      </c>
      <c r="H46" s="5">
        <v>32.026435202124645</v>
      </c>
      <c r="I46" s="5">
        <v>30.310617010481586</v>
      </c>
      <c r="J46" s="5">
        <v>27.135824331728049</v>
      </c>
      <c r="K46" s="5">
        <v>23.411996683002833</v>
      </c>
    </row>
    <row r="47" spans="1:11">
      <c r="A47" s="3">
        <f t="shared" si="11"/>
        <v>3.109618673074839E-2</v>
      </c>
      <c r="B47" s="3">
        <f t="shared" si="13"/>
        <v>1.0550000000000004</v>
      </c>
      <c r="D47" s="5">
        <f t="shared" si="12"/>
        <v>11.350108156723163</v>
      </c>
      <c r="E47" s="5">
        <v>32.121253061756377</v>
      </c>
      <c r="F47" s="5">
        <v>32.114102177337116</v>
      </c>
      <c r="G47" s="5">
        <v>32.052797240084985</v>
      </c>
      <c r="H47" s="5">
        <v>31.392289595184138</v>
      </c>
      <c r="I47" s="5">
        <v>29.468176722946176</v>
      </c>
      <c r="J47" s="5">
        <v>26.19289315736544</v>
      </c>
      <c r="K47" s="5">
        <v>22.560029504674223</v>
      </c>
    </row>
    <row r="48" spans="1:11">
      <c r="A48" s="3">
        <f t="shared" si="11"/>
        <v>3.529450826556535E-2</v>
      </c>
      <c r="B48" s="3">
        <f t="shared" si="13"/>
        <v>1.1100000000000003</v>
      </c>
      <c r="D48" s="5">
        <f t="shared" si="12"/>
        <v>12.882495516931352</v>
      </c>
      <c r="E48" s="5">
        <v>31.675579355807365</v>
      </c>
      <c r="F48" s="5">
        <v>31.662476439093485</v>
      </c>
      <c r="G48" s="5">
        <v>31.563883693201138</v>
      </c>
      <c r="H48" s="5">
        <v>30.738144661331447</v>
      </c>
      <c r="I48" s="5">
        <v>28.61646377988669</v>
      </c>
      <c r="J48" s="5">
        <v>25.270758616288951</v>
      </c>
      <c r="K48" s="5">
        <v>21.747797232436263</v>
      </c>
    </row>
    <row r="49" spans="1:11">
      <c r="A49" s="3">
        <f t="shared" si="11"/>
        <v>4.0059648615252588E-2</v>
      </c>
      <c r="B49" s="3">
        <f t="shared" si="13"/>
        <v>1.1650000000000003</v>
      </c>
      <c r="D49" s="5">
        <f t="shared" si="12"/>
        <v>14.621771744567194</v>
      </c>
      <c r="E49" s="5">
        <v>31.23726470084986</v>
      </c>
      <c r="F49" s="5">
        <v>31.215150405382438</v>
      </c>
      <c r="G49" s="5">
        <v>31.067805847733712</v>
      </c>
      <c r="H49" s="5">
        <v>30.06427340779037</v>
      </c>
      <c r="I49" s="5">
        <v>27.752434511473091</v>
      </c>
      <c r="J49" s="5">
        <v>24.372275514872523</v>
      </c>
      <c r="K49" s="5">
        <v>20.97369924008499</v>
      </c>
    </row>
    <row r="50" spans="1:11">
      <c r="A50" s="3">
        <f t="shared" si="11"/>
        <v>4.5468134450344165E-2</v>
      </c>
      <c r="B50" s="3">
        <f t="shared" si="13"/>
        <v>1.2200000000000002</v>
      </c>
      <c r="D50" s="5">
        <f t="shared" si="12"/>
        <v>16.595869074375621</v>
      </c>
      <c r="E50" s="5">
        <v>30.803032314589235</v>
      </c>
      <c r="F50" s="5">
        <v>30.768480711331446</v>
      </c>
      <c r="G50" s="5">
        <v>30.560854501841362</v>
      </c>
      <c r="H50" s="5">
        <v>29.371526771246462</v>
      </c>
      <c r="I50" s="5">
        <v>26.895101255099149</v>
      </c>
      <c r="J50" s="5">
        <v>23.499817627620398</v>
      </c>
      <c r="K50" s="5">
        <v>20.233499658073658</v>
      </c>
    </row>
    <row r="51" spans="1:11">
      <c r="A51" s="3">
        <f t="shared" si="11"/>
        <v>5.1606824369583616E-2</v>
      </c>
      <c r="B51" s="3">
        <f t="shared" si="13"/>
        <v>1.2750000000000001</v>
      </c>
      <c r="D51" s="5">
        <f t="shared" si="12"/>
        <v>18.83649089489802</v>
      </c>
      <c r="E51" s="5">
        <v>30.368131448158643</v>
      </c>
      <c r="F51" s="5">
        <v>30.317966416997169</v>
      </c>
      <c r="G51" s="5">
        <v>30.039838583427763</v>
      </c>
      <c r="H51" s="5">
        <v>28.661283536968838</v>
      </c>
      <c r="I51" s="5">
        <v>26.038153611756375</v>
      </c>
      <c r="J51" s="5">
        <v>22.654534621104816</v>
      </c>
      <c r="K51" s="5">
        <v>19.530975445750709</v>
      </c>
    </row>
    <row r="52" spans="1:11">
      <c r="A52" s="3">
        <f t="shared" si="11"/>
        <v>5.8574303821979E-2</v>
      </c>
      <c r="B52" s="3">
        <f t="shared" si="13"/>
        <v>1.33</v>
      </c>
      <c r="D52" s="5">
        <f t="shared" si="12"/>
        <v>21.379620895022335</v>
      </c>
      <c r="E52" s="5">
        <v>29.926532503541079</v>
      </c>
      <c r="F52" s="5">
        <v>29.858260755807368</v>
      </c>
      <c r="G52" s="5">
        <v>29.502078887677058</v>
      </c>
      <c r="H52" s="5">
        <v>27.935875177195467</v>
      </c>
      <c r="I52" s="5">
        <v>25.18619091883853</v>
      </c>
      <c r="J52" s="5">
        <v>21.837152559773372</v>
      </c>
      <c r="K52" s="5">
        <v>18.847416235127479</v>
      </c>
    </row>
    <row r="53" spans="1:11">
      <c r="A53" s="3">
        <f t="shared" si="11"/>
        <v>6.6482468358422378E-2</v>
      </c>
      <c r="B53" s="3">
        <f t="shared" si="13"/>
        <v>1.385</v>
      </c>
      <c r="D53" s="5">
        <f t="shared" si="12"/>
        <v>24.266100950824168</v>
      </c>
      <c r="E53" s="5">
        <v>29.4712446805949</v>
      </c>
      <c r="F53" s="5">
        <v>29.383434369830031</v>
      </c>
      <c r="G53" s="5">
        <v>28.945608059348444</v>
      </c>
      <c r="H53" s="5">
        <v>27.196920502407934</v>
      </c>
      <c r="I53" s="5">
        <v>24.342203966430596</v>
      </c>
      <c r="J53" s="5">
        <v>21.047315173371107</v>
      </c>
      <c r="K53" s="5">
        <v>18.207169471529745</v>
      </c>
    </row>
    <row r="54" spans="1:11">
      <c r="A54" s="3">
        <f t="shared" si="11"/>
        <v>7.5458320639401819E-2</v>
      </c>
      <c r="B54" s="3">
        <f t="shared" si="13"/>
        <v>1.44</v>
      </c>
      <c r="D54" s="5">
        <f t="shared" si="12"/>
        <v>27.542287033381665</v>
      </c>
      <c r="E54" s="5">
        <v>28.994426210056659</v>
      </c>
      <c r="F54" s="5">
        <v>28.887043273229462</v>
      </c>
      <c r="G54" s="5">
        <v>28.368610286968842</v>
      </c>
      <c r="H54" s="5">
        <v>26.446952375495751</v>
      </c>
      <c r="I54" s="5">
        <v>23.508617440226633</v>
      </c>
      <c r="J54" s="5">
        <v>20.28402871203966</v>
      </c>
      <c r="K54" s="5">
        <v>17.577661508073657</v>
      </c>
    </row>
    <row r="55" spans="1:11">
      <c r="A55" s="3">
        <f t="shared" si="11"/>
        <v>8.5646010058190544E-2</v>
      </c>
      <c r="B55" s="3">
        <f t="shared" si="13"/>
        <v>1.4949999999999999</v>
      </c>
      <c r="D55" s="5">
        <f t="shared" si="12"/>
        <v>31.260793671239547</v>
      </c>
      <c r="E55" s="5">
        <v>28.487180088385273</v>
      </c>
      <c r="F55" s="5">
        <v>28.362174389376772</v>
      </c>
      <c r="G55" s="5">
        <v>27.769267130028329</v>
      </c>
      <c r="H55" s="5">
        <v>25.688020109773372</v>
      </c>
      <c r="I55" s="5">
        <v>22.68721678229462</v>
      </c>
      <c r="J55" s="5">
        <v>19.54556211529745</v>
      </c>
      <c r="K55" s="5">
        <v>16.969668555382437</v>
      </c>
    </row>
    <row r="56" spans="1:11">
      <c r="A56" s="3">
        <f t="shared" si="11"/>
        <v>9.720914773522614E-2</v>
      </c>
      <c r="B56" s="3">
        <f t="shared" si="13"/>
        <v>1.5499999999999998</v>
      </c>
      <c r="D56" s="5">
        <f t="shared" si="12"/>
        <v>35.481338923357541</v>
      </c>
      <c r="E56" s="5">
        <v>27.940877410906516</v>
      </c>
      <c r="F56" s="5">
        <v>27.801495599008501</v>
      </c>
      <c r="G56" s="5">
        <v>27.145103800283287</v>
      </c>
      <c r="H56" s="5">
        <v>24.921990268838528</v>
      </c>
      <c r="I56" s="5">
        <v>21.87896119985836</v>
      </c>
      <c r="J56" s="5">
        <v>18.829726842776203</v>
      </c>
      <c r="K56" s="5">
        <v>16.381269910764871</v>
      </c>
    </row>
    <row r="57" spans="1:11">
      <c r="A57" s="3">
        <f t="shared" si="11"/>
        <v>0.11033343406176958</v>
      </c>
      <c r="B57" s="3">
        <f t="shared" si="13"/>
        <v>1.6049999999999998</v>
      </c>
      <c r="D57" s="5">
        <f t="shared" si="12"/>
        <v>40.271703432545898</v>
      </c>
      <c r="E57" s="5">
        <v>27.346644643767707</v>
      </c>
      <c r="F57" s="5">
        <v>27.19719682181303</v>
      </c>
      <c r="G57" s="5">
        <v>26.492565140226631</v>
      </c>
      <c r="H57" s="5">
        <v>24.150215636118983</v>
      </c>
      <c r="I57" s="5">
        <v>21.084110165014167</v>
      </c>
      <c r="J57" s="5">
        <v>18.133944897025497</v>
      </c>
      <c r="K57" s="5">
        <v>15.807737386543911</v>
      </c>
    </row>
    <row r="58" spans="1:11">
      <c r="A58" s="3">
        <f t="shared" si="11"/>
        <v>0.12522964099037667</v>
      </c>
      <c r="B58" s="3">
        <f t="shared" si="13"/>
        <v>1.6599999999999997</v>
      </c>
      <c r="D58" s="5">
        <f t="shared" si="12"/>
        <v>45.708818961487488</v>
      </c>
      <c r="E58" s="5">
        <v>26.69609810283286</v>
      </c>
      <c r="F58" s="5">
        <v>26.541491817988668</v>
      </c>
      <c r="G58" s="5">
        <v>25.806756944759208</v>
      </c>
      <c r="H58" s="5">
        <v>23.373660205524079</v>
      </c>
      <c r="I58" s="5">
        <v>20.302215071104818</v>
      </c>
      <c r="J58" s="5">
        <v>17.455571764447594</v>
      </c>
      <c r="K58" s="5">
        <v>15.246486005949009</v>
      </c>
    </row>
    <row r="59" spans="1:11">
      <c r="A59" s="3">
        <f t="shared" si="11"/>
        <v>0.1421369969668386</v>
      </c>
      <c r="B59" s="3">
        <f t="shared" si="13"/>
        <v>1.7149999999999996</v>
      </c>
      <c r="D59" s="5">
        <f t="shared" si="12"/>
        <v>51.880003892896092</v>
      </c>
      <c r="E59" s="5">
        <v>25.981771426770539</v>
      </c>
      <c r="F59" s="5">
        <v>25.82696110835694</v>
      </c>
      <c r="G59" s="5">
        <v>25.081563259490085</v>
      </c>
      <c r="H59" s="5">
        <v>22.591901240368273</v>
      </c>
      <c r="I59" s="5">
        <v>19.532286201558076</v>
      </c>
      <c r="J59" s="5">
        <v>16.791503730594901</v>
      </c>
      <c r="K59" s="5">
        <v>14.695101601699717</v>
      </c>
    </row>
    <row r="60" spans="1:11">
      <c r="A60" s="3">
        <f t="shared" si="11"/>
        <v>0.16132702886454478</v>
      </c>
      <c r="B60" s="3">
        <f t="shared" si="13"/>
        <v>1.7699999999999996</v>
      </c>
      <c r="D60" s="5">
        <f t="shared" si="12"/>
        <v>58.884365535558842</v>
      </c>
      <c r="E60" s="5">
        <v>25.197125517563741</v>
      </c>
      <c r="F60" s="5">
        <v>25.046348090651559</v>
      </c>
      <c r="G60" s="5">
        <v>24.309695001133147</v>
      </c>
      <c r="H60" s="5">
        <v>21.803229327762043</v>
      </c>
      <c r="I60" s="5">
        <v>18.772683813739377</v>
      </c>
      <c r="J60" s="5">
        <v>16.139157037677055</v>
      </c>
      <c r="K60" s="5">
        <v>14.151201115297452</v>
      </c>
    </row>
    <row r="61" spans="1:11">
      <c r="A61" s="3">
        <f t="shared" si="11"/>
        <v>0.18310792262153813</v>
      </c>
      <c r="B61" s="3">
        <f t="shared" si="13"/>
        <v>1.8249999999999995</v>
      </c>
      <c r="D61" s="5">
        <f t="shared" si="12"/>
        <v>66.834391756861422</v>
      </c>
      <c r="E61" s="5">
        <v>24.336665072096316</v>
      </c>
      <c r="F61" s="5">
        <v>24.193516755665723</v>
      </c>
      <c r="G61" s="5">
        <v>23.483019002691218</v>
      </c>
      <c r="H61" s="5">
        <v>21.004235290368271</v>
      </c>
      <c r="I61" s="5">
        <v>18.021240656090651</v>
      </c>
      <c r="J61" s="5">
        <v>15.495473485269123</v>
      </c>
      <c r="K61" s="5">
        <v>13.612698304249294</v>
      </c>
    </row>
    <row r="62" spans="1:11">
      <c r="A62" s="3">
        <f t="shared" si="11"/>
        <v>0.20782947261073503</v>
      </c>
      <c r="B62" s="3">
        <f t="shared" si="13"/>
        <v>1.8799999999999994</v>
      </c>
      <c r="D62" s="5">
        <f t="shared" si="12"/>
        <v>75.85775750291829</v>
      </c>
      <c r="E62" s="5">
        <v>23.396253454390937</v>
      </c>
      <c r="F62" s="5">
        <v>23.263345832719548</v>
      </c>
      <c r="G62" s="5">
        <v>22.594300927620395</v>
      </c>
      <c r="H62" s="5">
        <v>20.189797631869688</v>
      </c>
      <c r="I62" s="5">
        <v>17.27530887266289</v>
      </c>
      <c r="J62" s="5">
        <v>14.85791446713881</v>
      </c>
      <c r="K62" s="5">
        <v>13.077653756798867</v>
      </c>
    </row>
    <row r="63" spans="1:11">
      <c r="A63" s="3">
        <f t="shared" si="11"/>
        <v>0.23588869922865752</v>
      </c>
      <c r="B63" s="3">
        <f t="shared" si="13"/>
        <v>1.9349999999999994</v>
      </c>
      <c r="D63" s="5">
        <f t="shared" si="12"/>
        <v>86.099375218459997</v>
      </c>
      <c r="E63" s="5">
        <v>22.37300534249292</v>
      </c>
      <c r="F63" s="5">
        <v>22.252220264447594</v>
      </c>
      <c r="G63" s="5">
        <v>21.636811849433428</v>
      </c>
      <c r="H63" s="5">
        <v>19.352825610623228</v>
      </c>
      <c r="I63" s="5">
        <v>16.531951651558074</v>
      </c>
      <c r="J63" s="5">
        <v>14.223896485127479</v>
      </c>
      <c r="K63" s="5">
        <v>12.544129819121814</v>
      </c>
    </row>
    <row r="64" spans="1:11">
      <c r="A64" s="3">
        <f t="shared" si="11"/>
        <v>0.26773622491939986</v>
      </c>
      <c r="B64" s="3">
        <f t="shared" si="13"/>
        <v>1.9899999999999993</v>
      </c>
      <c r="D64" s="5">
        <f t="shared" si="12"/>
        <v>97.723722095580953</v>
      </c>
      <c r="E64" s="5">
        <v>21.265774999433429</v>
      </c>
      <c r="F64" s="5">
        <v>21.158420273796036</v>
      </c>
      <c r="G64" s="5">
        <v>20.605506842776204</v>
      </c>
      <c r="H64" s="5">
        <v>18.485537921954677</v>
      </c>
      <c r="I64" s="5">
        <v>15.787593308498586</v>
      </c>
      <c r="J64" s="5">
        <v>13.590973362039662</v>
      </c>
      <c r="K64" s="5">
        <v>12.010352639660058</v>
      </c>
    </row>
    <row r="65" spans="1:11">
      <c r="A65" s="3">
        <f t="shared" si="11"/>
        <v>0.30388351103079453</v>
      </c>
      <c r="B65" s="3">
        <f t="shared" si="13"/>
        <v>2.0449999999999995</v>
      </c>
      <c r="D65" s="5">
        <f t="shared" si="12"/>
        <v>110.91748152624001</v>
      </c>
      <c r="E65" s="5">
        <v>20.075338979603398</v>
      </c>
      <c r="F65" s="5">
        <v>19.982209791926348</v>
      </c>
      <c r="G65" s="5">
        <v>19.498123360623229</v>
      </c>
      <c r="H65" s="5">
        <v>17.579830997308783</v>
      </c>
      <c r="I65" s="5">
        <v>15.038392217988671</v>
      </c>
      <c r="J65" s="5">
        <v>12.957134411756375</v>
      </c>
      <c r="K65" s="5">
        <v>11.475009353966007</v>
      </c>
    </row>
    <row r="66" spans="1:11">
      <c r="A66" s="3">
        <f t="shared" si="11"/>
        <v>0.3449110717244292</v>
      </c>
      <c r="B66" s="3">
        <f t="shared" si="13"/>
        <v>2.0999999999999996</v>
      </c>
      <c r="D66" s="5">
        <f t="shared" si="12"/>
        <v>125.89254117941665</v>
      </c>
      <c r="E66" s="5">
        <v>18.804753664872525</v>
      </c>
      <c r="F66" s="5">
        <v>18.726274553257792</v>
      </c>
      <c r="G66" s="5">
        <v>18.314951714447592</v>
      </c>
      <c r="H66" s="5">
        <v>16.628645385694053</v>
      </c>
      <c r="I66" s="5">
        <v>14.279636998583571</v>
      </c>
      <c r="J66" s="5">
        <v>12.320617404532578</v>
      </c>
      <c r="K66" s="5">
        <v>10.9365110694051</v>
      </c>
    </row>
    <row r="67" spans="1:11">
      <c r="A67" s="3">
        <f t="shared" si="11"/>
        <v>0.3914777968523569</v>
      </c>
      <c r="B67" s="3">
        <f t="shared" si="13"/>
        <v>2.1549999999999998</v>
      </c>
      <c r="D67" s="5">
        <f t="shared" si="12"/>
        <v>142.88939585111027</v>
      </c>
      <c r="E67" s="5">
        <v>17.459778647733714</v>
      </c>
      <c r="F67" s="5">
        <v>17.396171353682721</v>
      </c>
      <c r="G67" s="5">
        <v>17.059616098866854</v>
      </c>
      <c r="H67" s="5">
        <v>15.626845186685554</v>
      </c>
      <c r="I67" s="5">
        <v>13.507015495467424</v>
      </c>
      <c r="J67" s="5">
        <v>11.679604174504249</v>
      </c>
      <c r="K67" s="5">
        <v>10.393980259065156</v>
      </c>
    </row>
    <row r="68" spans="1:11">
      <c r="A68" s="3">
        <f t="shared" si="11"/>
        <v>0.44433153352299465</v>
      </c>
      <c r="B68" s="3">
        <f t="shared" si="13"/>
        <v>2.21</v>
      </c>
      <c r="D68" s="5">
        <f t="shared" si="12"/>
        <v>162.18100973589304</v>
      </c>
      <c r="E68" s="5">
        <v>16.049442709348444</v>
      </c>
      <c r="F68" s="5">
        <v>16.000614045750709</v>
      </c>
      <c r="G68" s="5">
        <v>15.738989780878187</v>
      </c>
      <c r="H68" s="5">
        <v>14.57267506756374</v>
      </c>
      <c r="I68" s="5">
        <v>12.715339432861191</v>
      </c>
      <c r="J68" s="5">
        <v>11.032778266430595</v>
      </c>
      <c r="K68" s="5">
        <v>9.8464396774787541</v>
      </c>
    </row>
    <row r="69" spans="1:11">
      <c r="A69" s="3">
        <f t="shared" si="11"/>
        <v>0.50432109629286492</v>
      </c>
      <c r="B69" s="3">
        <f t="shared" si="13"/>
        <v>2.2650000000000001</v>
      </c>
      <c r="D69" s="5">
        <f t="shared" si="12"/>
        <v>184.07720014689568</v>
      </c>
      <c r="E69" s="5">
        <v>14.586141357648726</v>
      </c>
      <c r="F69" s="5">
        <v>14.551779233569405</v>
      </c>
      <c r="G69" s="5">
        <v>14.363544008215298</v>
      </c>
      <c r="H69" s="5">
        <v>13.467754508356942</v>
      </c>
      <c r="I69" s="5">
        <v>11.900670487818697</v>
      </c>
      <c r="J69" s="5">
        <v>10.379275786402266</v>
      </c>
      <c r="K69" s="5">
        <v>9.2934504082152998</v>
      </c>
    </row>
    <row r="70" spans="1:11">
      <c r="A70" s="3">
        <f t="shared" si="11"/>
        <v>0.57240989886412097</v>
      </c>
      <c r="B70" s="3">
        <f t="shared" si="13"/>
        <v>2.3200000000000003</v>
      </c>
      <c r="D70" s="5">
        <f t="shared" si="12"/>
        <v>208.92961308540416</v>
      </c>
      <c r="E70" s="5">
        <v>13.086292787818698</v>
      </c>
      <c r="F70" s="5">
        <v>13.065674957648726</v>
      </c>
      <c r="G70" s="5">
        <v>12.947508643767707</v>
      </c>
      <c r="H70" s="5">
        <v>12.317699896458924</v>
      </c>
      <c r="I70" s="5">
        <v>11.06038427776204</v>
      </c>
      <c r="J70" s="5">
        <v>9.7181234096317279</v>
      </c>
      <c r="K70" s="5">
        <v>8.734779996600567</v>
      </c>
    </row>
    <row r="71" spans="1:11">
      <c r="A71" s="3">
        <f t="shared" si="11"/>
        <v>0.64969142620867348</v>
      </c>
      <c r="B71" s="3">
        <f t="shared" si="13"/>
        <v>2.3750000000000004</v>
      </c>
      <c r="D71" s="5">
        <f t="shared" si="12"/>
        <v>237.13737056616583</v>
      </c>
      <c r="E71" s="5">
        <v>11.569954109206799</v>
      </c>
      <c r="F71" s="5">
        <v>11.561951708640226</v>
      </c>
      <c r="G71" s="5">
        <v>11.508664879036829</v>
      </c>
      <c r="H71" s="5">
        <v>11.132455178470256</v>
      </c>
      <c r="I71" s="5">
        <v>10.193305907223797</v>
      </c>
      <c r="J71" s="5">
        <v>9.048917535552409</v>
      </c>
      <c r="K71" s="5">
        <v>8.1707173509915023</v>
      </c>
    </row>
    <row r="72" spans="1:11">
      <c r="A72" s="3">
        <f t="shared" si="11"/>
        <v>0.73740679559641653</v>
      </c>
      <c r="B72" s="3">
        <f t="shared" si="13"/>
        <v>2.4300000000000006</v>
      </c>
      <c r="D72" s="5">
        <f t="shared" si="12"/>
        <v>269.15348039269202</v>
      </c>
      <c r="E72" s="5">
        <v>10.060615663597735</v>
      </c>
      <c r="F72" s="5">
        <v>10.063732331161473</v>
      </c>
      <c r="G72" s="5">
        <v>10.068398757082154</v>
      </c>
      <c r="H72" s="5">
        <v>9.9251181328611917</v>
      </c>
      <c r="I72" s="5">
        <v>9.3017824143059507</v>
      </c>
      <c r="J72" s="5">
        <v>8.3712796980169966</v>
      </c>
      <c r="K72" s="5">
        <v>7.6023064242209637</v>
      </c>
    </row>
    <row r="73" spans="1:11">
      <c r="A73" s="3">
        <f t="shared" si="11"/>
        <v>0.83696468855219708</v>
      </c>
      <c r="B73" s="3">
        <f t="shared" si="13"/>
        <v>2.4850000000000008</v>
      </c>
      <c r="D73" s="5">
        <f t="shared" si="12"/>
        <v>305.49211132155193</v>
      </c>
      <c r="E73" s="5">
        <v>8.5845798133144484</v>
      </c>
      <c r="F73" s="5">
        <v>8.5971176957507094</v>
      </c>
      <c r="G73" s="5">
        <v>8.6507797250708212</v>
      </c>
      <c r="H73" s="5">
        <v>8.7129116432011333</v>
      </c>
      <c r="I73" s="5">
        <v>8.3906432407932012</v>
      </c>
      <c r="J73" s="5">
        <v>7.6857951070821535</v>
      </c>
      <c r="K73" s="5">
        <v>7.030392621529745</v>
      </c>
    </row>
    <row r="74" spans="1:11">
      <c r="A74" s="3">
        <f t="shared" si="11"/>
        <v>0.94996397384255471</v>
      </c>
      <c r="B74" s="3">
        <f t="shared" si="13"/>
        <v>2.5400000000000009</v>
      </c>
      <c r="D74" s="5">
        <f t="shared" si="12"/>
        <v>346.73685045253245</v>
      </c>
      <c r="E74" s="5">
        <v>7.1699274298866866</v>
      </c>
      <c r="F74" s="5">
        <v>7.1896705307365441</v>
      </c>
      <c r="G74" s="5">
        <v>7.2820453423512745</v>
      </c>
      <c r="H74" s="5">
        <v>7.5156231890934855</v>
      </c>
      <c r="I74" s="5">
        <v>7.467977830028329</v>
      </c>
      <c r="J74" s="5">
        <v>6.9935162973087825</v>
      </c>
      <c r="K74" s="5">
        <v>6.4566828563739378</v>
      </c>
    </row>
    <row r="75" spans="1:11">
      <c r="A75" s="3">
        <f t="shared" si="11"/>
        <v>1.0782193848103521</v>
      </c>
      <c r="B75" s="3">
        <f t="shared" si="13"/>
        <v>2.5950000000000011</v>
      </c>
      <c r="D75" s="5">
        <f t="shared" si="12"/>
        <v>393.55007545577854</v>
      </c>
      <c r="E75" s="5">
        <v>5.8445309543909358</v>
      </c>
      <c r="F75" s="5">
        <v>5.8692538355524082</v>
      </c>
      <c r="G75" s="5">
        <v>5.9889609882436261</v>
      </c>
      <c r="H75" s="5">
        <v>6.354576177337111</v>
      </c>
      <c r="I75" s="5">
        <v>6.5451378076487261</v>
      </c>
      <c r="J75" s="5">
        <v>6.2973009039660059</v>
      </c>
      <c r="K75" s="5">
        <v>5.8838246975920692</v>
      </c>
    </row>
    <row r="76" spans="1:11">
      <c r="A76" s="3">
        <f t="shared" si="11"/>
        <v>1.2237906634272999</v>
      </c>
      <c r="B76" s="3">
        <f t="shared" si="13"/>
        <v>2.6500000000000012</v>
      </c>
      <c r="D76" s="5">
        <f t="shared" si="12"/>
        <v>446.6835921509645</v>
      </c>
      <c r="E76" s="5">
        <v>4.63448896246459</v>
      </c>
      <c r="F76" s="5">
        <v>4.6618922344192635</v>
      </c>
      <c r="G76" s="5">
        <v>4.7972578559490087</v>
      </c>
      <c r="H76" s="5">
        <v>5.2526340460339949</v>
      </c>
      <c r="I76" s="5">
        <v>5.6363132706798869</v>
      </c>
      <c r="J76" s="5">
        <v>5.6012161807365439</v>
      </c>
      <c r="K76" s="5">
        <v>5.31461509532578</v>
      </c>
    </row>
    <row r="77" spans="1:11">
      <c r="A77" s="3">
        <f t="shared" si="11"/>
        <v>1.3890156391087838</v>
      </c>
      <c r="B77" s="3">
        <f t="shared" si="13"/>
        <v>2.7050000000000014</v>
      </c>
      <c r="D77" s="5">
        <f t="shared" si="12"/>
        <v>506.99070827470609</v>
      </c>
      <c r="E77" s="5">
        <v>3.5616942512747878</v>
      </c>
      <c r="F77" s="5">
        <v>3.5895334307365441</v>
      </c>
      <c r="G77" s="5">
        <v>3.7292176466005671</v>
      </c>
      <c r="H77" s="5">
        <v>4.2318739116147315</v>
      </c>
      <c r="I77" s="5">
        <v>4.7571083103399436</v>
      </c>
      <c r="J77" s="5">
        <v>4.9115011249291785</v>
      </c>
      <c r="K77" s="5">
        <v>4.7521117283286118</v>
      </c>
    </row>
    <row r="78" spans="1:11">
      <c r="A78" s="3">
        <f t="shared" si="11"/>
        <v>1.5765477735264632</v>
      </c>
      <c r="B78" s="3">
        <f t="shared" si="13"/>
        <v>2.7600000000000016</v>
      </c>
      <c r="D78" s="5">
        <f t="shared" si="12"/>
        <v>575.43993733715911</v>
      </c>
      <c r="E78" s="5">
        <v>2.6416464483002833</v>
      </c>
      <c r="F78" s="5">
        <v>2.6680232128895183</v>
      </c>
      <c r="G78" s="5">
        <v>2.8021953933427768</v>
      </c>
      <c r="H78" s="5">
        <v>3.3113094597733714</v>
      </c>
      <c r="I78" s="5">
        <v>3.9243758406515581</v>
      </c>
      <c r="J78" s="5">
        <v>4.2357921997167143</v>
      </c>
      <c r="K78" s="5">
        <v>4.2005080094900853</v>
      </c>
    </row>
    <row r="79" spans="1:11">
      <c r="A79" s="3">
        <f t="shared" si="11"/>
        <v>1.789398774376644</v>
      </c>
      <c r="B79" s="3">
        <f t="shared" si="13"/>
        <v>2.8150000000000017</v>
      </c>
      <c r="D79" s="5">
        <f t="shared" si="12"/>
        <v>653.13055264747504</v>
      </c>
      <c r="E79" s="5">
        <v>1.881694587535411</v>
      </c>
      <c r="F79" s="5">
        <v>1.9051762835694053</v>
      </c>
      <c r="G79" s="5">
        <v>2.0256718117563741</v>
      </c>
      <c r="H79" s="5">
        <v>2.5062405560906518</v>
      </c>
      <c r="I79" s="5">
        <v>3.1544657617563741</v>
      </c>
      <c r="J79" s="5">
        <v>3.5836515650141649</v>
      </c>
      <c r="K79" s="5">
        <v>3.6634126515580738</v>
      </c>
    </row>
    <row r="80" spans="1:11">
      <c r="A80" s="3">
        <f t="shared" si="11"/>
        <v>2.0309869624682766</v>
      </c>
      <c r="B80" s="3">
        <f t="shared" si="13"/>
        <v>2.8700000000000019</v>
      </c>
      <c r="D80" s="5">
        <f t="shared" si="12"/>
        <v>741.31024130092089</v>
      </c>
      <c r="E80" s="5">
        <v>1.2804152703966005</v>
      </c>
      <c r="F80" s="5">
        <v>1.2998770654390934</v>
      </c>
      <c r="G80" s="5">
        <v>1.4015942229461757</v>
      </c>
      <c r="H80" s="5">
        <v>1.827116371104816</v>
      </c>
      <c r="I80" s="5">
        <v>2.4619074825779039</v>
      </c>
      <c r="J80" s="5">
        <v>2.9662432168555242</v>
      </c>
      <c r="K80" s="5">
        <v>3.1463950315864024</v>
      </c>
    </row>
    <row r="81" spans="1:11">
      <c r="A81" s="3">
        <f t="shared" si="11"/>
        <v>2.3051921688909567</v>
      </c>
      <c r="B81" s="3">
        <f t="shared" si="13"/>
        <v>2.925000000000002</v>
      </c>
      <c r="D81" s="5">
        <f t="shared" si="12"/>
        <v>841.39514164519926</v>
      </c>
      <c r="E81" s="5">
        <v>0.82689946359773381</v>
      </c>
      <c r="F81" s="5">
        <v>0.84235657974504252</v>
      </c>
      <c r="G81" s="5">
        <v>0.92295961784702552</v>
      </c>
      <c r="H81" s="5">
        <v>1.2763093793201132</v>
      </c>
      <c r="I81" s="5">
        <v>1.8582192427762039</v>
      </c>
      <c r="J81" s="5">
        <v>2.3942993140226632</v>
      </c>
      <c r="K81" s="5">
        <v>2.6547749303116146</v>
      </c>
    </row>
    <row r="82" spans="1:11">
      <c r="A82" s="3">
        <f t="shared" si="11"/>
        <v>2.6164180438943587</v>
      </c>
      <c r="B82" s="3">
        <f t="shared" si="13"/>
        <v>2.9800000000000022</v>
      </c>
      <c r="D82" s="5">
        <f t="shared" si="12"/>
        <v>954.99258602144096</v>
      </c>
      <c r="E82" s="5">
        <v>0.50343502110481586</v>
      </c>
      <c r="F82" s="5">
        <v>0.51439965127478759</v>
      </c>
      <c r="G82" s="5">
        <v>0.57389759730878187</v>
      </c>
      <c r="H82" s="5">
        <v>0.84933140835694054</v>
      </c>
      <c r="I82" s="5">
        <v>1.3502823859773372</v>
      </c>
      <c r="J82" s="5">
        <v>1.877955718838527</v>
      </c>
      <c r="K82" s="5">
        <v>2.194885654390935</v>
      </c>
    </row>
    <row r="83" spans="1:11">
      <c r="A83" s="3">
        <f t="shared" si="11"/>
        <v>2.9696627781403033</v>
      </c>
      <c r="B83" s="3">
        <f t="shared" si="13"/>
        <v>3.0350000000000024</v>
      </c>
      <c r="D83" s="5">
        <f t="shared" si="12"/>
        <v>1083.9269140212107</v>
      </c>
      <c r="E83" s="5">
        <v>0.28648482861189806</v>
      </c>
      <c r="F83" s="5">
        <v>0.29420325580736545</v>
      </c>
      <c r="G83" s="5">
        <v>0.3346900067988669</v>
      </c>
      <c r="H83" s="5">
        <v>0.535184057082153</v>
      </c>
      <c r="I83" s="5">
        <v>0.93993695580736547</v>
      </c>
      <c r="J83" s="5">
        <v>1.4259893005665725</v>
      </c>
      <c r="K83" s="5">
        <v>1.7721245964589236</v>
      </c>
    </row>
    <row r="84" spans="1:11">
      <c r="A84" s="3">
        <f t="shared" si="11"/>
        <v>3.3705993720887402</v>
      </c>
      <c r="B84" s="3">
        <f t="shared" si="13"/>
        <v>3.0900000000000025</v>
      </c>
      <c r="D84" s="5">
        <f t="shared" si="12"/>
        <v>1230.2687708123901</v>
      </c>
      <c r="E84" s="5">
        <v>0.1509358185552408</v>
      </c>
      <c r="F84" s="5">
        <v>0.15583947266288953</v>
      </c>
      <c r="G84" s="5">
        <v>0.18143441770538246</v>
      </c>
      <c r="H84" s="5">
        <v>0.3164294148725213</v>
      </c>
      <c r="I84" s="5">
        <v>0.62271522237960342</v>
      </c>
      <c r="J84" s="5">
        <v>1.0429712101983004</v>
      </c>
      <c r="K84" s="5">
        <v>1.3926015439093486</v>
      </c>
    </row>
    <row r="85" spans="1:11">
      <c r="A85" s="3">
        <f t="shared" si="11"/>
        <v>3.8256667426190352</v>
      </c>
      <c r="B85" s="3">
        <f t="shared" si="13"/>
        <v>3.1450000000000027</v>
      </c>
      <c r="D85" s="5">
        <f t="shared" si="12"/>
        <v>1396.3683610559478</v>
      </c>
      <c r="E85" s="5">
        <v>7.3237085127478757E-2</v>
      </c>
      <c r="F85" s="5">
        <v>7.5598252691218129E-2</v>
      </c>
      <c r="G85" s="5">
        <v>9.0703593626062326E-2</v>
      </c>
      <c r="H85" s="5">
        <v>0.17425140651558074</v>
      </c>
      <c r="I85" s="5">
        <v>0.39011917124645895</v>
      </c>
      <c r="J85" s="5">
        <v>0.73123064645892355</v>
      </c>
      <c r="K85" s="5">
        <v>1.0605415039660058</v>
      </c>
    </row>
    <row r="86" spans="1:11">
      <c r="A86" s="3">
        <f t="shared" si="11"/>
        <v>4.3421731300304813</v>
      </c>
      <c r="B86" s="3">
        <f t="shared" si="13"/>
        <v>3.2000000000000028</v>
      </c>
      <c r="D86" s="5">
        <f t="shared" si="12"/>
        <v>1584.8931924611256</v>
      </c>
      <c r="E86" s="5">
        <v>3.2210600141643064E-2</v>
      </c>
      <c r="F86" s="5">
        <v>3.3408846175637393E-2</v>
      </c>
      <c r="G86" s="5">
        <v>4.1460814447592073E-2</v>
      </c>
      <c r="H86" s="5">
        <v>8.8912423796033993E-2</v>
      </c>
      <c r="I86" s="5">
        <v>0.22952381940509917</v>
      </c>
      <c r="J86" s="5">
        <v>0.48907046444759211</v>
      </c>
      <c r="K86" s="5">
        <v>0.77930308073654397</v>
      </c>
    </row>
    <row r="87" spans="1:11">
      <c r="A87" s="3">
        <f t="shared" si="11"/>
        <v>4.9284134661063073</v>
      </c>
      <c r="B87" s="3">
        <f t="shared" si="13"/>
        <v>3.255000000000003</v>
      </c>
      <c r="D87" s="5">
        <f t="shared" si="12"/>
        <v>1798.8709151288022</v>
      </c>
      <c r="E87" s="5">
        <v>1.2848388385269123E-2</v>
      </c>
      <c r="F87" s="5">
        <v>1.3744887252124647E-2</v>
      </c>
      <c r="G87" s="5">
        <v>1.733505580736544E-2</v>
      </c>
      <c r="H87" s="5">
        <v>4.1140647167138812E-2</v>
      </c>
      <c r="I87" s="5">
        <v>0.12559859348441929</v>
      </c>
      <c r="J87" s="5">
        <v>0.30941459121813036</v>
      </c>
      <c r="K87" s="5">
        <v>0.54992098215297458</v>
      </c>
    </row>
    <row r="88" spans="1:11">
      <c r="A88" s="3">
        <f t="shared" si="11"/>
        <v>5.5938025881357429</v>
      </c>
      <c r="B88" s="3">
        <f t="shared" si="13"/>
        <v>3.3100000000000032</v>
      </c>
      <c r="D88" s="5">
        <f t="shared" si="12"/>
        <v>2041.7379446695463</v>
      </c>
      <c r="E88" s="5">
        <v>5.2644582152974505E-3</v>
      </c>
      <c r="F88" s="5">
        <v>5.5094968838526916E-3</v>
      </c>
      <c r="G88" s="5">
        <v>6.7686842776203968E-3</v>
      </c>
      <c r="H88" s="5">
        <v>1.7620623654390936E-2</v>
      </c>
      <c r="I88" s="5">
        <v>6.3217792492917854E-2</v>
      </c>
      <c r="J88" s="5">
        <v>0.18413836487252125</v>
      </c>
      <c r="K88" s="5">
        <v>0.3698296577903683</v>
      </c>
    </row>
    <row r="89" spans="1:11">
      <c r="A89" s="3">
        <f t="shared" si="11"/>
        <v>6.3490264382698598</v>
      </c>
      <c r="B89" s="3">
        <f t="shared" si="13"/>
        <v>3.3650000000000033</v>
      </c>
      <c r="D89" s="5">
        <f t="shared" si="12"/>
        <v>2317.3946499684989</v>
      </c>
      <c r="E89" s="5">
        <v>2.0974308781869688E-3</v>
      </c>
      <c r="F89" s="5">
        <v>2.2656220963172807E-3</v>
      </c>
      <c r="G89" s="5">
        <v>2.7021008498583571E-3</v>
      </c>
      <c r="H89" s="5">
        <v>6.9995243626062324E-3</v>
      </c>
      <c r="I89" s="5">
        <v>2.9402326203966007E-2</v>
      </c>
      <c r="J89" s="5">
        <v>0.10198117776203967</v>
      </c>
      <c r="K89" s="5">
        <v>0.23610379405099152</v>
      </c>
    </row>
    <row r="90" spans="1:11">
      <c r="A90" s="3">
        <f t="shared" ref="A90:A106" si="14">D90/365</f>
        <v>7.2062136764257696</v>
      </c>
      <c r="B90" s="3">
        <f t="shared" si="13"/>
        <v>3.4200000000000035</v>
      </c>
      <c r="D90" s="5">
        <f t="shared" si="12"/>
        <v>2630.2679918954059</v>
      </c>
      <c r="E90" s="5">
        <v>7.1595623229461758E-4</v>
      </c>
      <c r="F90" s="5">
        <v>4.7197847025495755E-4</v>
      </c>
      <c r="G90" s="5">
        <v>6.9403314447592074E-4</v>
      </c>
      <c r="H90" s="5">
        <v>3.016176062322946E-3</v>
      </c>
      <c r="I90" s="5">
        <v>1.200248937677054E-2</v>
      </c>
      <c r="J90" s="5">
        <v>5.2635833711048165E-2</v>
      </c>
      <c r="K90" s="5">
        <v>0.14180218073654391</v>
      </c>
    </row>
    <row r="91" spans="1:11">
      <c r="A91" s="3">
        <f t="shared" si="14"/>
        <v>8.1791304627890078</v>
      </c>
      <c r="B91" s="3">
        <f t="shared" si="13"/>
        <v>3.4750000000000036</v>
      </c>
      <c r="D91" s="5">
        <f t="shared" ref="D91:D154" si="15">10^B91</f>
        <v>2985.3826189179877</v>
      </c>
      <c r="E91" s="5">
        <v>-1.6516487252124648E-4</v>
      </c>
      <c r="F91" s="5">
        <v>4.1147308781869693E-5</v>
      </c>
      <c r="G91" s="5">
        <v>3.2582521246458929E-4</v>
      </c>
      <c r="H91" s="5">
        <v>7.9184334277620399E-4</v>
      </c>
      <c r="I91" s="5">
        <v>4.6749060906515587E-3</v>
      </c>
      <c r="J91" s="5">
        <v>2.4450184844192636E-2</v>
      </c>
      <c r="K91" s="5">
        <v>7.9340424929178463E-2</v>
      </c>
    </row>
    <row r="92" spans="1:11">
      <c r="A92" s="3">
        <f t="shared" si="14"/>
        <v>9.283401538060426</v>
      </c>
      <c r="B92" s="3">
        <f t="shared" ref="B92:B106" si="16">B91+$B$24</f>
        <v>3.5300000000000038</v>
      </c>
      <c r="D92" s="5">
        <f t="shared" si="15"/>
        <v>3388.4415613920555</v>
      </c>
      <c r="E92" s="5">
        <v>-4.6676997167138817E-4</v>
      </c>
      <c r="F92" s="5">
        <v>-2.727396600566572E-4</v>
      </c>
      <c r="G92" s="5">
        <v>-1.037672804532578E-4</v>
      </c>
      <c r="H92" s="5">
        <v>1.4389631728045329E-4</v>
      </c>
      <c r="I92" s="5">
        <v>1.8108305949008498E-3</v>
      </c>
      <c r="J92" s="5">
        <v>1.0304007507082154E-2</v>
      </c>
      <c r="K92" s="5">
        <v>4.1214690651558077E-2</v>
      </c>
    </row>
    <row r="93" spans="1:11">
      <c r="A93" s="3">
        <f t="shared" si="14"/>
        <v>10.536761151927601</v>
      </c>
      <c r="B93" s="3">
        <f t="shared" si="16"/>
        <v>3.585000000000004</v>
      </c>
      <c r="D93" s="5">
        <f t="shared" si="15"/>
        <v>3845.9178204535747</v>
      </c>
      <c r="E93" s="5">
        <v>-6.0126756373937674E-4</v>
      </c>
      <c r="F93" s="5">
        <v>-1.6107917847025497E-4</v>
      </c>
      <c r="G93" s="5">
        <v>1.3896586402266289E-4</v>
      </c>
      <c r="H93" s="5">
        <v>-1.9381898016997167E-4</v>
      </c>
      <c r="I93" s="5">
        <v>1.2013050991501416E-3</v>
      </c>
      <c r="J93" s="5">
        <v>3.829104249291785E-3</v>
      </c>
      <c r="K93" s="5">
        <v>1.984302294617564E-2</v>
      </c>
    </row>
    <row r="94" spans="1:11">
      <c r="A94" s="3">
        <f t="shared" si="14"/>
        <v>11.959337869593702</v>
      </c>
      <c r="B94" s="3">
        <f t="shared" si="16"/>
        <v>3.6400000000000041</v>
      </c>
      <c r="D94" s="5">
        <f t="shared" si="15"/>
        <v>4365.1583224017013</v>
      </c>
      <c r="E94" s="5">
        <v>-2.7579022662889522E-4</v>
      </c>
      <c r="F94" s="5">
        <v>-1.3273371104815865E-5</v>
      </c>
      <c r="G94" s="5">
        <v>-1.6959192634560908E-4</v>
      </c>
      <c r="H94" s="5">
        <v>5.8064164305949012E-5</v>
      </c>
      <c r="I94" s="5">
        <v>7.0424433427762048E-4</v>
      </c>
      <c r="J94" s="5">
        <v>1.5249600566572237E-3</v>
      </c>
      <c r="K94" s="5">
        <v>8.696909065155807E-3</v>
      </c>
    </row>
    <row r="95" spans="1:11">
      <c r="A95" s="3">
        <f t="shared" si="14"/>
        <v>13.573977830268372</v>
      </c>
      <c r="B95" s="3">
        <f t="shared" si="16"/>
        <v>3.6950000000000043</v>
      </c>
      <c r="D95" s="5">
        <f t="shared" si="15"/>
        <v>4954.501908047956</v>
      </c>
      <c r="E95" s="5">
        <v>-3.1049178470254955E-4</v>
      </c>
      <c r="F95" s="5">
        <v>-2.6563739376770539E-4</v>
      </c>
      <c r="G95" s="5">
        <v>-1.3929773371104817E-4</v>
      </c>
      <c r="H95" s="5">
        <v>-1.5049235127478753E-4</v>
      </c>
      <c r="I95" s="5">
        <v>-1.2238399433427762E-4</v>
      </c>
      <c r="J95" s="5">
        <v>7.9829164305949012E-4</v>
      </c>
      <c r="K95" s="5">
        <v>3.4603936260623235E-3</v>
      </c>
    </row>
    <row r="96" spans="1:11">
      <c r="A96" s="3">
        <f t="shared" si="14"/>
        <v>15.40661164905082</v>
      </c>
      <c r="B96" s="3">
        <f t="shared" si="16"/>
        <v>3.7500000000000044</v>
      </c>
      <c r="D96" s="5">
        <f t="shared" si="15"/>
        <v>5623.4132519035493</v>
      </c>
      <c r="E96" s="5">
        <v>-2.5578101983002836E-4</v>
      </c>
      <c r="F96" s="5">
        <v>-9.68586402266289E-5</v>
      </c>
      <c r="G96" s="5">
        <v>1.1585594900849858E-4</v>
      </c>
      <c r="H96" s="5">
        <v>-3.6065453257790367E-4</v>
      </c>
      <c r="I96" s="5">
        <v>1.4304532577903684E-4</v>
      </c>
      <c r="J96" s="5">
        <v>2.5028229461756374E-4</v>
      </c>
      <c r="K96" s="5">
        <v>1.3101341359773372E-3</v>
      </c>
    </row>
    <row r="97" spans="1:11">
      <c r="A97" s="3">
        <f t="shared" si="14"/>
        <v>17.486670854535781</v>
      </c>
      <c r="B97" s="3">
        <f t="shared" si="16"/>
        <v>3.8050000000000046</v>
      </c>
      <c r="D97" s="5">
        <f t="shared" si="15"/>
        <v>6382.6348619055607</v>
      </c>
      <c r="E97" s="5">
        <v>2.4424844192634564E-4</v>
      </c>
      <c r="F97" s="5">
        <v>-7.0926912181303113E-5</v>
      </c>
      <c r="G97" s="5">
        <v>-1.984828611898017E-4</v>
      </c>
      <c r="H97" s="5">
        <v>1.4052974504249292E-4</v>
      </c>
      <c r="I97" s="5">
        <v>-4.005735127478754E-4</v>
      </c>
      <c r="J97" s="5">
        <v>9.746657223796035E-5</v>
      </c>
      <c r="K97" s="5">
        <v>4.1285991501416433E-4</v>
      </c>
    </row>
    <row r="98" spans="1:11">
      <c r="A98" s="3">
        <f t="shared" si="14"/>
        <v>19.847560549999947</v>
      </c>
      <c r="B98" s="3">
        <f t="shared" si="16"/>
        <v>3.8600000000000048</v>
      </c>
      <c r="D98" s="5">
        <f t="shared" si="15"/>
        <v>7244.3596007499809</v>
      </c>
      <c r="E98" s="5">
        <v>1.096600566572238E-5</v>
      </c>
      <c r="F98" s="5">
        <v>-1.4139178470254956E-4</v>
      </c>
      <c r="G98" s="5">
        <v>-1.0872804532577904E-4</v>
      </c>
      <c r="H98" s="5">
        <v>-8.9846600566572242E-5</v>
      </c>
      <c r="I98" s="5">
        <v>-5.8274447592067988E-4</v>
      </c>
      <c r="J98" s="5">
        <v>-8.0071246458923514E-5</v>
      </c>
      <c r="K98" s="5">
        <v>7.8006798866855532E-5</v>
      </c>
    </row>
    <row r="99" spans="1:11">
      <c r="A99" s="3">
        <f t="shared" si="14"/>
        <v>22.527195888961135</v>
      </c>
      <c r="B99" s="3">
        <f t="shared" si="16"/>
        <v>3.9150000000000049</v>
      </c>
      <c r="D99" s="5">
        <f t="shared" si="15"/>
        <v>8222.4264994708137</v>
      </c>
      <c r="E99" s="5">
        <v>-1.5633016997167141E-4</v>
      </c>
      <c r="F99" s="5">
        <v>-9.6783144475920686E-5</v>
      </c>
      <c r="G99" s="5">
        <v>2.8714660056657223E-4</v>
      </c>
      <c r="H99" s="5">
        <v>-2.6509773371104819E-4</v>
      </c>
      <c r="I99" s="5">
        <v>-1.3060141643059491E-4</v>
      </c>
      <c r="J99" s="5">
        <v>-2.6760566572237959E-4</v>
      </c>
      <c r="K99" s="5">
        <v>5.3012322946175641E-5</v>
      </c>
    </row>
    <row r="100" spans="1:11">
      <c r="A100" s="3">
        <f t="shared" si="14"/>
        <v>25.568610980739781</v>
      </c>
      <c r="B100" s="3">
        <f t="shared" si="16"/>
        <v>3.9700000000000051</v>
      </c>
      <c r="D100" s="5">
        <f t="shared" si="15"/>
        <v>9332.54300797002</v>
      </c>
      <c r="E100" s="5">
        <v>1.3374192634560907E-4</v>
      </c>
      <c r="F100" s="5">
        <v>-7.192138810198301E-5</v>
      </c>
      <c r="G100" s="5">
        <v>1.9018045325779038E-4</v>
      </c>
      <c r="H100" s="5">
        <v>-3.7972662889518411E-5</v>
      </c>
      <c r="I100" s="5">
        <v>-1.7948725212464591E-4</v>
      </c>
      <c r="J100" s="5">
        <v>-1.6995750708215297E-4</v>
      </c>
      <c r="K100" s="5">
        <v>-7.8238951841359778E-5</v>
      </c>
    </row>
    <row r="101" spans="1:11">
      <c r="A101" s="3">
        <f t="shared" si="14"/>
        <v>29.020650004857558</v>
      </c>
      <c r="B101" s="3">
        <f t="shared" si="16"/>
        <v>4.0250000000000048</v>
      </c>
      <c r="D101" s="5">
        <f t="shared" si="15"/>
        <v>10592.537251773008</v>
      </c>
      <c r="E101" s="5">
        <v>3.0115807365439096E-4</v>
      </c>
      <c r="F101" s="5">
        <v>-2.6042677053824363E-4</v>
      </c>
      <c r="G101" s="5">
        <v>-8.8180878186968836E-5</v>
      </c>
      <c r="H101" s="5">
        <v>1.6494504249291785E-4</v>
      </c>
      <c r="I101" s="5">
        <v>4.1301699716713883E-6</v>
      </c>
      <c r="J101" s="5">
        <v>-9.0511048158640231E-5</v>
      </c>
      <c r="K101" s="5">
        <v>-1.0921643059490085E-4</v>
      </c>
    </row>
    <row r="102" spans="1:11">
      <c r="A102" s="3">
        <f t="shared" si="14"/>
        <v>32.93875163335413</v>
      </c>
      <c r="B102" s="3">
        <f t="shared" si="16"/>
        <v>4.0800000000000045</v>
      </c>
      <c r="D102" s="5">
        <f t="shared" si="15"/>
        <v>12022.644346174258</v>
      </c>
      <c r="E102" s="5">
        <v>2.1129008498583572E-4</v>
      </c>
      <c r="F102" s="5">
        <v>-1.6292209631728046E-4</v>
      </c>
      <c r="G102" s="5">
        <v>1.6404447592067989E-4</v>
      </c>
      <c r="H102" s="5">
        <v>2.7739249291784706E-4</v>
      </c>
      <c r="I102" s="5">
        <v>-1.3543130311614732E-4</v>
      </c>
      <c r="J102" s="5">
        <v>1.3495028328611898E-4</v>
      </c>
      <c r="K102" s="5">
        <v>-1.38971388101983E-4</v>
      </c>
    </row>
    <row r="103" spans="1:11">
      <c r="A103" s="3">
        <f t="shared" si="14"/>
        <v>37.385839358601054</v>
      </c>
      <c r="B103" s="3">
        <f t="shared" si="16"/>
        <v>4.1350000000000042</v>
      </c>
      <c r="D103" s="5">
        <f t="shared" si="15"/>
        <v>13645.831365889386</v>
      </c>
      <c r="E103" s="5">
        <v>-6.8073229461756383E-5</v>
      </c>
      <c r="F103" s="5">
        <v>-2.1664560906515582E-4</v>
      </c>
      <c r="G103" s="5">
        <v>-5.0584985835694048E-6</v>
      </c>
      <c r="H103" s="5">
        <v>-2.65971388101983E-4</v>
      </c>
      <c r="I103" s="5">
        <v>1.5818640226628896E-4</v>
      </c>
      <c r="J103" s="5">
        <v>-1.1542677053824363E-4</v>
      </c>
      <c r="K103" s="5">
        <v>-1.1490240793201135E-4</v>
      </c>
    </row>
    <row r="104" spans="1:11">
      <c r="A104" s="3">
        <f t="shared" si="14"/>
        <v>42.433332024999899</v>
      </c>
      <c r="B104" s="3">
        <f t="shared" si="16"/>
        <v>4.1900000000000039</v>
      </c>
      <c r="D104" s="5">
        <f t="shared" si="15"/>
        <v>15488.166189124964</v>
      </c>
      <c r="E104" s="5">
        <v>1.6783725212464592E-4</v>
      </c>
      <c r="F104" s="5">
        <v>1.2062932011331446E-4</v>
      </c>
      <c r="G104" s="5">
        <v>7.3056232294617569E-5</v>
      </c>
      <c r="H104" s="5">
        <v>2.1561189801699716E-5</v>
      </c>
      <c r="I104" s="5">
        <v>-5.1127478753541084E-5</v>
      </c>
      <c r="J104" s="5">
        <v>1.0239971671388103E-4</v>
      </c>
      <c r="K104" s="5">
        <v>-3.5239518413597741E-5</v>
      </c>
    </row>
    <row r="105" spans="1:11">
      <c r="A105" s="3">
        <f t="shared" si="14"/>
        <v>48.162290793389282</v>
      </c>
      <c r="B105" s="3">
        <f t="shared" si="16"/>
        <v>4.2450000000000037</v>
      </c>
      <c r="D105" s="5">
        <f t="shared" si="15"/>
        <v>17579.236139587087</v>
      </c>
      <c r="E105" s="5">
        <v>7.0988810198300287E-5</v>
      </c>
      <c r="F105" s="5">
        <v>-1.2972379603399433E-4</v>
      </c>
      <c r="G105" s="5">
        <v>2.3450991501416435E-5</v>
      </c>
      <c r="H105" s="5">
        <v>-7.9039660056657226E-5</v>
      </c>
      <c r="I105" s="5">
        <v>-3.3190368271954679E-5</v>
      </c>
      <c r="J105" s="5">
        <v>2.2807365439093489E-6</v>
      </c>
      <c r="K105" s="5">
        <v>-1.3700849858356943E-5</v>
      </c>
    </row>
    <row r="106" spans="1:11">
      <c r="A106" s="3">
        <f t="shared" si="14"/>
        <v>54.664720958051973</v>
      </c>
      <c r="B106" s="3">
        <f t="shared" si="16"/>
        <v>4.3000000000000034</v>
      </c>
      <c r="D106" s="5">
        <f t="shared" si="15"/>
        <v>19952.62314968897</v>
      </c>
      <c r="E106" s="5">
        <v>-1.4472492917847027E-4</v>
      </c>
      <c r="F106" s="5">
        <v>1.2814603399433427E-4</v>
      </c>
      <c r="G106" s="5">
        <v>-6.743172804532578E-5</v>
      </c>
      <c r="H106" s="5">
        <v>-3.0668696883852693E-5</v>
      </c>
      <c r="I106" s="5">
        <v>6.9401274787535413E-5</v>
      </c>
      <c r="J106" s="5">
        <v>-2.3743767705382439E-5</v>
      </c>
      <c r="K106" s="5">
        <v>1.016685552407932E-5</v>
      </c>
    </row>
    <row r="107" spans="1:11">
      <c r="D107" s="5">
        <f t="shared" si="15"/>
        <v>1</v>
      </c>
    </row>
    <row r="108" spans="1:11">
      <c r="D108" s="5">
        <f t="shared" si="15"/>
        <v>1</v>
      </c>
    </row>
    <row r="109" spans="1:11">
      <c r="D109" s="5">
        <f t="shared" si="15"/>
        <v>1</v>
      </c>
    </row>
    <row r="110" spans="1:11">
      <c r="D110" s="5">
        <f t="shared" si="15"/>
        <v>1</v>
      </c>
    </row>
    <row r="111" spans="1:11">
      <c r="D111" s="5">
        <f t="shared" si="15"/>
        <v>1</v>
      </c>
    </row>
    <row r="112" spans="1:11">
      <c r="D112" s="5">
        <f t="shared" si="15"/>
        <v>1</v>
      </c>
    </row>
    <row r="113" spans="4:4">
      <c r="D113" s="5">
        <f t="shared" si="15"/>
        <v>1</v>
      </c>
    </row>
    <row r="114" spans="4:4">
      <c r="D114" s="5">
        <f t="shared" si="15"/>
        <v>1</v>
      </c>
    </row>
    <row r="115" spans="4:4">
      <c r="D115" s="5">
        <f t="shared" si="15"/>
        <v>1</v>
      </c>
    </row>
    <row r="116" spans="4:4">
      <c r="D116" s="5">
        <f t="shared" si="15"/>
        <v>1</v>
      </c>
    </row>
    <row r="117" spans="4:4">
      <c r="D117" s="5">
        <f t="shared" si="15"/>
        <v>1</v>
      </c>
    </row>
    <row r="118" spans="4:4">
      <c r="D118" s="5">
        <f t="shared" si="15"/>
        <v>1</v>
      </c>
    </row>
    <row r="119" spans="4:4">
      <c r="D119" s="5">
        <f t="shared" si="15"/>
        <v>1</v>
      </c>
    </row>
    <row r="120" spans="4:4">
      <c r="D120" s="5">
        <f t="shared" si="15"/>
        <v>1</v>
      </c>
    </row>
    <row r="121" spans="4:4">
      <c r="D121" s="5">
        <f t="shared" si="15"/>
        <v>1</v>
      </c>
    </row>
    <row r="122" spans="4:4">
      <c r="D122" s="5">
        <f t="shared" si="15"/>
        <v>1</v>
      </c>
    </row>
    <row r="123" spans="4:4">
      <c r="D123" s="5">
        <f t="shared" si="15"/>
        <v>1</v>
      </c>
    </row>
    <row r="124" spans="4:4">
      <c r="D124" s="5">
        <f t="shared" si="15"/>
        <v>1</v>
      </c>
    </row>
    <row r="125" spans="4:4">
      <c r="D125" s="5">
        <f t="shared" si="15"/>
        <v>1</v>
      </c>
    </row>
    <row r="126" spans="4:4">
      <c r="D126" s="5">
        <f t="shared" si="15"/>
        <v>1</v>
      </c>
    </row>
    <row r="127" spans="4:4">
      <c r="D127" s="5">
        <f t="shared" si="15"/>
        <v>1</v>
      </c>
    </row>
    <row r="128" spans="4:4">
      <c r="D128" s="5">
        <f t="shared" si="15"/>
        <v>1</v>
      </c>
    </row>
    <row r="129" spans="4:4">
      <c r="D129" s="5">
        <f t="shared" si="15"/>
        <v>1</v>
      </c>
    </row>
    <row r="130" spans="4:4">
      <c r="D130" s="5">
        <f t="shared" si="15"/>
        <v>1</v>
      </c>
    </row>
    <row r="131" spans="4:4">
      <c r="D131" s="5">
        <f t="shared" si="15"/>
        <v>1</v>
      </c>
    </row>
    <row r="132" spans="4:4">
      <c r="D132" s="5">
        <f t="shared" si="15"/>
        <v>1</v>
      </c>
    </row>
    <row r="133" spans="4:4">
      <c r="D133" s="5">
        <f t="shared" si="15"/>
        <v>1</v>
      </c>
    </row>
    <row r="134" spans="4:4">
      <c r="D134" s="5">
        <f t="shared" si="15"/>
        <v>1</v>
      </c>
    </row>
    <row r="135" spans="4:4">
      <c r="D135" s="5">
        <f t="shared" si="15"/>
        <v>1</v>
      </c>
    </row>
    <row r="136" spans="4:4">
      <c r="D136" s="5">
        <f t="shared" si="15"/>
        <v>1</v>
      </c>
    </row>
    <row r="137" spans="4:4">
      <c r="D137" s="5">
        <f t="shared" si="15"/>
        <v>1</v>
      </c>
    </row>
    <row r="138" spans="4:4">
      <c r="D138" s="5">
        <f t="shared" si="15"/>
        <v>1</v>
      </c>
    </row>
    <row r="139" spans="4:4">
      <c r="D139" s="5">
        <f t="shared" si="15"/>
        <v>1</v>
      </c>
    </row>
    <row r="140" spans="4:4">
      <c r="D140" s="5">
        <f t="shared" si="15"/>
        <v>1</v>
      </c>
    </row>
    <row r="141" spans="4:4">
      <c r="D141" s="5">
        <f t="shared" si="15"/>
        <v>1</v>
      </c>
    </row>
    <row r="142" spans="4:4">
      <c r="D142" s="5">
        <f t="shared" si="15"/>
        <v>1</v>
      </c>
    </row>
    <row r="143" spans="4:4">
      <c r="D143" s="5">
        <f t="shared" si="15"/>
        <v>1</v>
      </c>
    </row>
    <row r="144" spans="4:4">
      <c r="D144" s="5">
        <f t="shared" si="15"/>
        <v>1</v>
      </c>
    </row>
    <row r="145" spans="4:4">
      <c r="D145" s="5">
        <f t="shared" si="15"/>
        <v>1</v>
      </c>
    </row>
    <row r="146" spans="4:4">
      <c r="D146" s="5">
        <f t="shared" si="15"/>
        <v>1</v>
      </c>
    </row>
    <row r="147" spans="4:4">
      <c r="D147" s="5">
        <f t="shared" si="15"/>
        <v>1</v>
      </c>
    </row>
    <row r="148" spans="4:4">
      <c r="D148" s="5">
        <f t="shared" si="15"/>
        <v>1</v>
      </c>
    </row>
    <row r="149" spans="4:4">
      <c r="D149" s="5">
        <f t="shared" si="15"/>
        <v>1</v>
      </c>
    </row>
    <row r="150" spans="4:4">
      <c r="D150" s="5">
        <f t="shared" si="15"/>
        <v>1</v>
      </c>
    </row>
    <row r="151" spans="4:4">
      <c r="D151" s="5">
        <f t="shared" si="15"/>
        <v>1</v>
      </c>
    </row>
    <row r="152" spans="4:4">
      <c r="D152" s="5">
        <f t="shared" si="15"/>
        <v>1</v>
      </c>
    </row>
    <row r="153" spans="4:4">
      <c r="D153" s="5">
        <f t="shared" si="15"/>
        <v>1</v>
      </c>
    </row>
    <row r="154" spans="4:4">
      <c r="D154" s="5">
        <f t="shared" si="15"/>
        <v>1</v>
      </c>
    </row>
    <row r="155" spans="4:4">
      <c r="D155" s="5">
        <f t="shared" ref="D155:D218" si="17">10^B155</f>
        <v>1</v>
      </c>
    </row>
    <row r="156" spans="4:4">
      <c r="D156" s="5">
        <f t="shared" si="17"/>
        <v>1</v>
      </c>
    </row>
    <row r="157" spans="4:4">
      <c r="D157" s="5">
        <f t="shared" si="17"/>
        <v>1</v>
      </c>
    </row>
    <row r="158" spans="4:4">
      <c r="D158" s="5">
        <f t="shared" si="17"/>
        <v>1</v>
      </c>
    </row>
    <row r="159" spans="4:4">
      <c r="D159" s="5">
        <f t="shared" si="17"/>
        <v>1</v>
      </c>
    </row>
    <row r="160" spans="4:4">
      <c r="D160" s="5">
        <f t="shared" si="17"/>
        <v>1</v>
      </c>
    </row>
    <row r="161" spans="4:4">
      <c r="D161" s="5">
        <f t="shared" si="17"/>
        <v>1</v>
      </c>
    </row>
    <row r="162" spans="4:4">
      <c r="D162" s="5">
        <f t="shared" si="17"/>
        <v>1</v>
      </c>
    </row>
    <row r="163" spans="4:4">
      <c r="D163" s="5">
        <f t="shared" si="17"/>
        <v>1</v>
      </c>
    </row>
    <row r="164" spans="4:4">
      <c r="D164" s="5">
        <f t="shared" si="17"/>
        <v>1</v>
      </c>
    </row>
    <row r="165" spans="4:4">
      <c r="D165" s="5">
        <f t="shared" si="17"/>
        <v>1</v>
      </c>
    </row>
    <row r="166" spans="4:4">
      <c r="D166" s="5">
        <f t="shared" si="17"/>
        <v>1</v>
      </c>
    </row>
    <row r="167" spans="4:4">
      <c r="D167" s="5">
        <f t="shared" si="17"/>
        <v>1</v>
      </c>
    </row>
    <row r="168" spans="4:4">
      <c r="D168" s="5">
        <f t="shared" si="17"/>
        <v>1</v>
      </c>
    </row>
    <row r="169" spans="4:4">
      <c r="D169" s="5">
        <f t="shared" si="17"/>
        <v>1</v>
      </c>
    </row>
    <row r="170" spans="4:4">
      <c r="D170" s="5">
        <f t="shared" si="17"/>
        <v>1</v>
      </c>
    </row>
    <row r="171" spans="4:4">
      <c r="D171" s="5">
        <f t="shared" si="17"/>
        <v>1</v>
      </c>
    </row>
    <row r="172" spans="4:4">
      <c r="D172" s="5">
        <f t="shared" si="17"/>
        <v>1</v>
      </c>
    </row>
    <row r="173" spans="4:4">
      <c r="D173" s="5">
        <f t="shared" si="17"/>
        <v>1</v>
      </c>
    </row>
    <row r="174" spans="4:4">
      <c r="D174" s="5">
        <f t="shared" si="17"/>
        <v>1</v>
      </c>
    </row>
    <row r="175" spans="4:4">
      <c r="D175" s="5">
        <f t="shared" si="17"/>
        <v>1</v>
      </c>
    </row>
    <row r="176" spans="4:4">
      <c r="D176" s="5">
        <f t="shared" si="17"/>
        <v>1</v>
      </c>
    </row>
    <row r="177" spans="4:4">
      <c r="D177" s="5">
        <f t="shared" si="17"/>
        <v>1</v>
      </c>
    </row>
    <row r="178" spans="4:4">
      <c r="D178" s="5">
        <f t="shared" si="17"/>
        <v>1</v>
      </c>
    </row>
    <row r="179" spans="4:4">
      <c r="D179" s="5">
        <f t="shared" si="17"/>
        <v>1</v>
      </c>
    </row>
    <row r="180" spans="4:4">
      <c r="D180" s="5">
        <f t="shared" si="17"/>
        <v>1</v>
      </c>
    </row>
    <row r="181" spans="4:4">
      <c r="D181" s="5">
        <f t="shared" si="17"/>
        <v>1</v>
      </c>
    </row>
    <row r="182" spans="4:4">
      <c r="D182" s="5">
        <f t="shared" si="17"/>
        <v>1</v>
      </c>
    </row>
    <row r="183" spans="4:4">
      <c r="D183" s="5">
        <f t="shared" si="17"/>
        <v>1</v>
      </c>
    </row>
    <row r="184" spans="4:4">
      <c r="D184" s="5">
        <f t="shared" si="17"/>
        <v>1</v>
      </c>
    </row>
    <row r="185" spans="4:4">
      <c r="D185" s="5">
        <f t="shared" si="17"/>
        <v>1</v>
      </c>
    </row>
    <row r="186" spans="4:4">
      <c r="D186" s="5">
        <f t="shared" si="17"/>
        <v>1</v>
      </c>
    </row>
    <row r="187" spans="4:4">
      <c r="D187" s="5">
        <f t="shared" si="17"/>
        <v>1</v>
      </c>
    </row>
    <row r="188" spans="4:4">
      <c r="D188" s="5">
        <f t="shared" si="17"/>
        <v>1</v>
      </c>
    </row>
    <row r="189" spans="4:4">
      <c r="D189" s="5">
        <f t="shared" si="17"/>
        <v>1</v>
      </c>
    </row>
    <row r="190" spans="4:4">
      <c r="D190" s="5">
        <f t="shared" si="17"/>
        <v>1</v>
      </c>
    </row>
    <row r="191" spans="4:4">
      <c r="D191" s="5">
        <f t="shared" si="17"/>
        <v>1</v>
      </c>
    </row>
    <row r="192" spans="4:4">
      <c r="D192" s="5">
        <f t="shared" si="17"/>
        <v>1</v>
      </c>
    </row>
    <row r="193" spans="4:4">
      <c r="D193" s="5">
        <f t="shared" si="17"/>
        <v>1</v>
      </c>
    </row>
    <row r="194" spans="4:4">
      <c r="D194" s="5">
        <f t="shared" si="17"/>
        <v>1</v>
      </c>
    </row>
    <row r="195" spans="4:4">
      <c r="D195" s="5">
        <f t="shared" si="17"/>
        <v>1</v>
      </c>
    </row>
    <row r="196" spans="4:4">
      <c r="D196" s="5">
        <f t="shared" si="17"/>
        <v>1</v>
      </c>
    </row>
    <row r="197" spans="4:4">
      <c r="D197" s="5">
        <f t="shared" si="17"/>
        <v>1</v>
      </c>
    </row>
    <row r="198" spans="4:4">
      <c r="D198" s="5">
        <f t="shared" si="17"/>
        <v>1</v>
      </c>
    </row>
    <row r="199" spans="4:4">
      <c r="D199" s="5">
        <f t="shared" si="17"/>
        <v>1</v>
      </c>
    </row>
    <row r="200" spans="4:4">
      <c r="D200" s="5">
        <f t="shared" si="17"/>
        <v>1</v>
      </c>
    </row>
    <row r="201" spans="4:4">
      <c r="D201" s="5">
        <f t="shared" si="17"/>
        <v>1</v>
      </c>
    </row>
    <row r="202" spans="4:4">
      <c r="D202" s="5">
        <f t="shared" si="17"/>
        <v>1</v>
      </c>
    </row>
    <row r="203" spans="4:4">
      <c r="D203" s="5">
        <f t="shared" si="17"/>
        <v>1</v>
      </c>
    </row>
    <row r="204" spans="4:4">
      <c r="D204" s="5">
        <f t="shared" si="17"/>
        <v>1</v>
      </c>
    </row>
    <row r="205" spans="4:4">
      <c r="D205" s="5">
        <f t="shared" si="17"/>
        <v>1</v>
      </c>
    </row>
    <row r="206" spans="4:4">
      <c r="D206" s="5">
        <f t="shared" si="17"/>
        <v>1</v>
      </c>
    </row>
    <row r="207" spans="4:4">
      <c r="D207" s="5">
        <f t="shared" si="17"/>
        <v>1</v>
      </c>
    </row>
    <row r="208" spans="4:4">
      <c r="D208" s="5">
        <f t="shared" si="17"/>
        <v>1</v>
      </c>
    </row>
    <row r="209" spans="4:4">
      <c r="D209" s="5">
        <f t="shared" si="17"/>
        <v>1</v>
      </c>
    </row>
    <row r="210" spans="4:4">
      <c r="D210" s="5">
        <f t="shared" si="17"/>
        <v>1</v>
      </c>
    </row>
    <row r="211" spans="4:4">
      <c r="D211" s="5">
        <f t="shared" si="17"/>
        <v>1</v>
      </c>
    </row>
    <row r="212" spans="4:4">
      <c r="D212" s="5">
        <f t="shared" si="17"/>
        <v>1</v>
      </c>
    </row>
    <row r="213" spans="4:4">
      <c r="D213" s="5">
        <f t="shared" si="17"/>
        <v>1</v>
      </c>
    </row>
    <row r="214" spans="4:4">
      <c r="D214" s="5">
        <f t="shared" si="17"/>
        <v>1</v>
      </c>
    </row>
    <row r="215" spans="4:4">
      <c r="D215" s="5">
        <f t="shared" si="17"/>
        <v>1</v>
      </c>
    </row>
    <row r="216" spans="4:4">
      <c r="D216" s="5">
        <f t="shared" si="17"/>
        <v>1</v>
      </c>
    </row>
    <row r="217" spans="4:4">
      <c r="D217" s="5">
        <f t="shared" si="17"/>
        <v>1</v>
      </c>
    </row>
    <row r="218" spans="4:4">
      <c r="D218" s="5">
        <f t="shared" si="17"/>
        <v>1</v>
      </c>
    </row>
    <row r="219" spans="4:4">
      <c r="D219" s="5">
        <f t="shared" ref="D219:D282" si="18">10^B219</f>
        <v>1</v>
      </c>
    </row>
    <row r="220" spans="4:4">
      <c r="D220" s="5">
        <f t="shared" si="18"/>
        <v>1</v>
      </c>
    </row>
    <row r="221" spans="4:4">
      <c r="D221" s="5">
        <f t="shared" si="18"/>
        <v>1</v>
      </c>
    </row>
    <row r="222" spans="4:4">
      <c r="D222" s="5">
        <f t="shared" si="18"/>
        <v>1</v>
      </c>
    </row>
    <row r="223" spans="4:4">
      <c r="D223" s="5">
        <f t="shared" si="18"/>
        <v>1</v>
      </c>
    </row>
    <row r="224" spans="4:4">
      <c r="D224" s="5">
        <f t="shared" si="18"/>
        <v>1</v>
      </c>
    </row>
    <row r="225" spans="4:4">
      <c r="D225" s="5">
        <f t="shared" si="18"/>
        <v>1</v>
      </c>
    </row>
    <row r="226" spans="4:4">
      <c r="D226" s="5">
        <f t="shared" si="18"/>
        <v>1</v>
      </c>
    </row>
    <row r="227" spans="4:4">
      <c r="D227" s="5">
        <f t="shared" si="18"/>
        <v>1</v>
      </c>
    </row>
    <row r="228" spans="4:4">
      <c r="D228" s="5">
        <f t="shared" si="18"/>
        <v>1</v>
      </c>
    </row>
    <row r="229" spans="4:4">
      <c r="D229" s="5">
        <f t="shared" si="18"/>
        <v>1</v>
      </c>
    </row>
    <row r="230" spans="4:4">
      <c r="D230" s="5">
        <f t="shared" si="18"/>
        <v>1</v>
      </c>
    </row>
    <row r="231" spans="4:4">
      <c r="D231" s="5">
        <f t="shared" si="18"/>
        <v>1</v>
      </c>
    </row>
    <row r="232" spans="4:4">
      <c r="D232" s="5">
        <f t="shared" si="18"/>
        <v>1</v>
      </c>
    </row>
    <row r="233" spans="4:4">
      <c r="D233" s="5">
        <f t="shared" si="18"/>
        <v>1</v>
      </c>
    </row>
    <row r="234" spans="4:4">
      <c r="D234" s="5">
        <f t="shared" si="18"/>
        <v>1</v>
      </c>
    </row>
    <row r="235" spans="4:4">
      <c r="D235" s="5">
        <f t="shared" si="18"/>
        <v>1</v>
      </c>
    </row>
    <row r="236" spans="4:4">
      <c r="D236" s="5">
        <f t="shared" si="18"/>
        <v>1</v>
      </c>
    </row>
    <row r="237" spans="4:4">
      <c r="D237" s="5">
        <f t="shared" si="18"/>
        <v>1</v>
      </c>
    </row>
    <row r="238" spans="4:4">
      <c r="D238" s="5">
        <f t="shared" si="18"/>
        <v>1</v>
      </c>
    </row>
    <row r="239" spans="4:4">
      <c r="D239" s="5">
        <f t="shared" si="18"/>
        <v>1</v>
      </c>
    </row>
    <row r="240" spans="4:4">
      <c r="D240" s="5">
        <f t="shared" si="18"/>
        <v>1</v>
      </c>
    </row>
    <row r="241" spans="4:4">
      <c r="D241" s="5">
        <f t="shared" si="18"/>
        <v>1</v>
      </c>
    </row>
    <row r="242" spans="4:4">
      <c r="D242" s="5">
        <f t="shared" si="18"/>
        <v>1</v>
      </c>
    </row>
    <row r="243" spans="4:4">
      <c r="D243" s="5">
        <f t="shared" si="18"/>
        <v>1</v>
      </c>
    </row>
    <row r="244" spans="4:4">
      <c r="D244" s="5">
        <f t="shared" si="18"/>
        <v>1</v>
      </c>
    </row>
    <row r="245" spans="4:4">
      <c r="D245" s="5">
        <f t="shared" si="18"/>
        <v>1</v>
      </c>
    </row>
    <row r="246" spans="4:4">
      <c r="D246" s="5">
        <f t="shared" si="18"/>
        <v>1</v>
      </c>
    </row>
    <row r="247" spans="4:4">
      <c r="D247" s="5">
        <f t="shared" si="18"/>
        <v>1</v>
      </c>
    </row>
    <row r="248" spans="4:4">
      <c r="D248" s="5">
        <f t="shared" si="18"/>
        <v>1</v>
      </c>
    </row>
    <row r="249" spans="4:4">
      <c r="D249" s="5">
        <f t="shared" si="18"/>
        <v>1</v>
      </c>
    </row>
    <row r="250" spans="4:4">
      <c r="D250" s="5">
        <f t="shared" si="18"/>
        <v>1</v>
      </c>
    </row>
    <row r="251" spans="4:4">
      <c r="D251" s="5">
        <f t="shared" si="18"/>
        <v>1</v>
      </c>
    </row>
    <row r="252" spans="4:4">
      <c r="D252" s="5">
        <f t="shared" si="18"/>
        <v>1</v>
      </c>
    </row>
    <row r="253" spans="4:4">
      <c r="D253" s="5">
        <f t="shared" si="18"/>
        <v>1</v>
      </c>
    </row>
    <row r="254" spans="4:4">
      <c r="D254" s="5">
        <f t="shared" si="18"/>
        <v>1</v>
      </c>
    </row>
    <row r="255" spans="4:4">
      <c r="D255" s="5">
        <f t="shared" si="18"/>
        <v>1</v>
      </c>
    </row>
    <row r="256" spans="4:4">
      <c r="D256" s="5">
        <f t="shared" si="18"/>
        <v>1</v>
      </c>
    </row>
    <row r="257" spans="4:4">
      <c r="D257" s="5">
        <f t="shared" si="18"/>
        <v>1</v>
      </c>
    </row>
    <row r="258" spans="4:4">
      <c r="D258" s="5">
        <f t="shared" si="18"/>
        <v>1</v>
      </c>
    </row>
    <row r="259" spans="4:4">
      <c r="D259" s="5">
        <f t="shared" si="18"/>
        <v>1</v>
      </c>
    </row>
    <row r="260" spans="4:4">
      <c r="D260" s="5">
        <f t="shared" si="18"/>
        <v>1</v>
      </c>
    </row>
    <row r="261" spans="4:4">
      <c r="D261" s="5">
        <f t="shared" si="18"/>
        <v>1</v>
      </c>
    </row>
    <row r="262" spans="4:4">
      <c r="D262" s="5">
        <f t="shared" si="18"/>
        <v>1</v>
      </c>
    </row>
    <row r="263" spans="4:4">
      <c r="D263" s="5">
        <f t="shared" si="18"/>
        <v>1</v>
      </c>
    </row>
    <row r="264" spans="4:4">
      <c r="D264" s="5">
        <f t="shared" si="18"/>
        <v>1</v>
      </c>
    </row>
    <row r="265" spans="4:4">
      <c r="D265" s="5">
        <f t="shared" si="18"/>
        <v>1</v>
      </c>
    </row>
    <row r="266" spans="4:4">
      <c r="D266" s="5">
        <f t="shared" si="18"/>
        <v>1</v>
      </c>
    </row>
    <row r="267" spans="4:4">
      <c r="D267" s="5">
        <f t="shared" si="18"/>
        <v>1</v>
      </c>
    </row>
    <row r="268" spans="4:4">
      <c r="D268" s="5">
        <f t="shared" si="18"/>
        <v>1</v>
      </c>
    </row>
    <row r="269" spans="4:4">
      <c r="D269" s="5">
        <f t="shared" si="18"/>
        <v>1</v>
      </c>
    </row>
    <row r="270" spans="4:4">
      <c r="D270" s="5">
        <f t="shared" si="18"/>
        <v>1</v>
      </c>
    </row>
    <row r="271" spans="4:4">
      <c r="D271" s="5">
        <f t="shared" si="18"/>
        <v>1</v>
      </c>
    </row>
    <row r="272" spans="4:4">
      <c r="D272" s="5">
        <f t="shared" si="18"/>
        <v>1</v>
      </c>
    </row>
    <row r="273" spans="4:4">
      <c r="D273" s="5">
        <f t="shared" si="18"/>
        <v>1</v>
      </c>
    </row>
    <row r="274" spans="4:4">
      <c r="D274" s="5">
        <f t="shared" si="18"/>
        <v>1</v>
      </c>
    </row>
    <row r="275" spans="4:4">
      <c r="D275" s="5">
        <f t="shared" si="18"/>
        <v>1</v>
      </c>
    </row>
    <row r="276" spans="4:4">
      <c r="D276" s="5">
        <f t="shared" si="18"/>
        <v>1</v>
      </c>
    </row>
    <row r="277" spans="4:4">
      <c r="D277" s="5">
        <f t="shared" si="18"/>
        <v>1</v>
      </c>
    </row>
    <row r="278" spans="4:4">
      <c r="D278" s="5">
        <f t="shared" si="18"/>
        <v>1</v>
      </c>
    </row>
    <row r="279" spans="4:4">
      <c r="D279" s="5">
        <f t="shared" si="18"/>
        <v>1</v>
      </c>
    </row>
    <row r="280" spans="4:4">
      <c r="D280" s="5">
        <f t="shared" si="18"/>
        <v>1</v>
      </c>
    </row>
    <row r="281" spans="4:4">
      <c r="D281" s="5">
        <f t="shared" si="18"/>
        <v>1</v>
      </c>
    </row>
    <row r="282" spans="4:4">
      <c r="D282" s="5">
        <f t="shared" si="18"/>
        <v>1</v>
      </c>
    </row>
    <row r="283" spans="4:4">
      <c r="D283" s="5">
        <f t="shared" ref="D283:D346" si="19">10^B283</f>
        <v>1</v>
      </c>
    </row>
    <row r="284" spans="4:4">
      <c r="D284" s="5">
        <f t="shared" si="19"/>
        <v>1</v>
      </c>
    </row>
    <row r="285" spans="4:4">
      <c r="D285" s="5">
        <f t="shared" si="19"/>
        <v>1</v>
      </c>
    </row>
    <row r="286" spans="4:4">
      <c r="D286" s="5">
        <f t="shared" si="19"/>
        <v>1</v>
      </c>
    </row>
    <row r="287" spans="4:4">
      <c r="D287" s="5">
        <f t="shared" si="19"/>
        <v>1</v>
      </c>
    </row>
    <row r="288" spans="4:4">
      <c r="D288" s="5">
        <f t="shared" si="19"/>
        <v>1</v>
      </c>
    </row>
    <row r="289" spans="4:4">
      <c r="D289" s="5">
        <f t="shared" si="19"/>
        <v>1</v>
      </c>
    </row>
    <row r="290" spans="4:4">
      <c r="D290" s="5">
        <f t="shared" si="19"/>
        <v>1</v>
      </c>
    </row>
    <row r="291" spans="4:4">
      <c r="D291" s="5">
        <f t="shared" si="19"/>
        <v>1</v>
      </c>
    </row>
    <row r="292" spans="4:4">
      <c r="D292" s="5">
        <f t="shared" si="19"/>
        <v>1</v>
      </c>
    </row>
    <row r="293" spans="4:4">
      <c r="D293" s="5">
        <f t="shared" si="19"/>
        <v>1</v>
      </c>
    </row>
    <row r="294" spans="4:4">
      <c r="D294" s="5">
        <f t="shared" si="19"/>
        <v>1</v>
      </c>
    </row>
    <row r="295" spans="4:4">
      <c r="D295" s="5">
        <f t="shared" si="19"/>
        <v>1</v>
      </c>
    </row>
    <row r="296" spans="4:4">
      <c r="D296" s="5">
        <f t="shared" si="19"/>
        <v>1</v>
      </c>
    </row>
    <row r="297" spans="4:4">
      <c r="D297" s="5">
        <f t="shared" si="19"/>
        <v>1</v>
      </c>
    </row>
    <row r="298" spans="4:4">
      <c r="D298" s="5">
        <f t="shared" si="19"/>
        <v>1</v>
      </c>
    </row>
    <row r="299" spans="4:4">
      <c r="D299" s="5">
        <f t="shared" si="19"/>
        <v>1</v>
      </c>
    </row>
    <row r="300" spans="4:4">
      <c r="D300" s="5">
        <f t="shared" si="19"/>
        <v>1</v>
      </c>
    </row>
    <row r="301" spans="4:4">
      <c r="D301" s="5">
        <f t="shared" si="19"/>
        <v>1</v>
      </c>
    </row>
    <row r="302" spans="4:4">
      <c r="D302" s="5">
        <f t="shared" si="19"/>
        <v>1</v>
      </c>
    </row>
    <row r="303" spans="4:4">
      <c r="D303" s="5">
        <f t="shared" si="19"/>
        <v>1</v>
      </c>
    </row>
    <row r="304" spans="4:4">
      <c r="D304" s="5">
        <f t="shared" si="19"/>
        <v>1</v>
      </c>
    </row>
    <row r="305" spans="4:4">
      <c r="D305" s="5">
        <f t="shared" si="19"/>
        <v>1</v>
      </c>
    </row>
    <row r="306" spans="4:4">
      <c r="D306" s="5">
        <f t="shared" si="19"/>
        <v>1</v>
      </c>
    </row>
    <row r="307" spans="4:4">
      <c r="D307" s="5">
        <f t="shared" si="19"/>
        <v>1</v>
      </c>
    </row>
    <row r="308" spans="4:4">
      <c r="D308" s="5">
        <f t="shared" si="19"/>
        <v>1</v>
      </c>
    </row>
    <row r="309" spans="4:4">
      <c r="D309" s="5">
        <f t="shared" si="19"/>
        <v>1</v>
      </c>
    </row>
    <row r="310" spans="4:4">
      <c r="D310" s="5">
        <f t="shared" si="19"/>
        <v>1</v>
      </c>
    </row>
    <row r="311" spans="4:4">
      <c r="D311" s="5">
        <f t="shared" si="19"/>
        <v>1</v>
      </c>
    </row>
    <row r="312" spans="4:4">
      <c r="D312" s="5">
        <f t="shared" si="19"/>
        <v>1</v>
      </c>
    </row>
    <row r="313" spans="4:4">
      <c r="D313" s="5">
        <f t="shared" si="19"/>
        <v>1</v>
      </c>
    </row>
    <row r="314" spans="4:4">
      <c r="D314" s="5">
        <f t="shared" si="19"/>
        <v>1</v>
      </c>
    </row>
    <row r="315" spans="4:4">
      <c r="D315" s="5">
        <f t="shared" si="19"/>
        <v>1</v>
      </c>
    </row>
    <row r="316" spans="4:4">
      <c r="D316" s="5">
        <f t="shared" si="19"/>
        <v>1</v>
      </c>
    </row>
    <row r="317" spans="4:4">
      <c r="D317" s="5">
        <f t="shared" si="19"/>
        <v>1</v>
      </c>
    </row>
    <row r="318" spans="4:4">
      <c r="D318" s="5">
        <f t="shared" si="19"/>
        <v>1</v>
      </c>
    </row>
    <row r="319" spans="4:4">
      <c r="D319" s="5">
        <f t="shared" si="19"/>
        <v>1</v>
      </c>
    </row>
    <row r="320" spans="4:4">
      <c r="D320" s="5">
        <f t="shared" si="19"/>
        <v>1</v>
      </c>
    </row>
    <row r="321" spans="4:4">
      <c r="D321" s="5">
        <f t="shared" si="19"/>
        <v>1</v>
      </c>
    </row>
    <row r="322" spans="4:4">
      <c r="D322" s="5">
        <f t="shared" si="19"/>
        <v>1</v>
      </c>
    </row>
    <row r="323" spans="4:4">
      <c r="D323" s="5">
        <f t="shared" si="19"/>
        <v>1</v>
      </c>
    </row>
    <row r="324" spans="4:4">
      <c r="D324" s="5">
        <f t="shared" si="19"/>
        <v>1</v>
      </c>
    </row>
    <row r="325" spans="4:4">
      <c r="D325" s="5">
        <f t="shared" si="19"/>
        <v>1</v>
      </c>
    </row>
    <row r="326" spans="4:4">
      <c r="D326" s="5">
        <f t="shared" si="19"/>
        <v>1</v>
      </c>
    </row>
    <row r="327" spans="4:4">
      <c r="D327" s="5">
        <f t="shared" si="19"/>
        <v>1</v>
      </c>
    </row>
    <row r="328" spans="4:4">
      <c r="D328" s="5">
        <f t="shared" si="19"/>
        <v>1</v>
      </c>
    </row>
    <row r="329" spans="4:4">
      <c r="D329" s="5">
        <f t="shared" si="19"/>
        <v>1</v>
      </c>
    </row>
    <row r="330" spans="4:4">
      <c r="D330" s="5">
        <f t="shared" si="19"/>
        <v>1</v>
      </c>
    </row>
    <row r="331" spans="4:4">
      <c r="D331" s="5">
        <f t="shared" si="19"/>
        <v>1</v>
      </c>
    </row>
    <row r="332" spans="4:4">
      <c r="D332" s="5">
        <f t="shared" si="19"/>
        <v>1</v>
      </c>
    </row>
    <row r="333" spans="4:4">
      <c r="D333" s="5">
        <f t="shared" si="19"/>
        <v>1</v>
      </c>
    </row>
    <row r="334" spans="4:4">
      <c r="D334" s="5">
        <f t="shared" si="19"/>
        <v>1</v>
      </c>
    </row>
    <row r="335" spans="4:4">
      <c r="D335" s="5">
        <f t="shared" si="19"/>
        <v>1</v>
      </c>
    </row>
    <row r="336" spans="4:4">
      <c r="D336" s="5">
        <f t="shared" si="19"/>
        <v>1</v>
      </c>
    </row>
    <row r="337" spans="4:4">
      <c r="D337" s="5">
        <f t="shared" si="19"/>
        <v>1</v>
      </c>
    </row>
    <row r="338" spans="4:4">
      <c r="D338" s="5">
        <f t="shared" si="19"/>
        <v>1</v>
      </c>
    </row>
    <row r="339" spans="4:4">
      <c r="D339" s="5">
        <f t="shared" si="19"/>
        <v>1</v>
      </c>
    </row>
    <row r="340" spans="4:4">
      <c r="D340" s="5">
        <f t="shared" si="19"/>
        <v>1</v>
      </c>
    </row>
    <row r="341" spans="4:4">
      <c r="D341" s="5">
        <f t="shared" si="19"/>
        <v>1</v>
      </c>
    </row>
    <row r="342" spans="4:4">
      <c r="D342" s="5">
        <f t="shared" si="19"/>
        <v>1</v>
      </c>
    </row>
    <row r="343" spans="4:4">
      <c r="D343" s="5">
        <f t="shared" si="19"/>
        <v>1</v>
      </c>
    </row>
    <row r="344" spans="4:4">
      <c r="D344" s="5">
        <f t="shared" si="19"/>
        <v>1</v>
      </c>
    </row>
    <row r="345" spans="4:4">
      <c r="D345" s="5">
        <f t="shared" si="19"/>
        <v>1</v>
      </c>
    </row>
    <row r="346" spans="4:4">
      <c r="D346" s="5">
        <f t="shared" si="19"/>
        <v>1</v>
      </c>
    </row>
    <row r="347" spans="4:4">
      <c r="D347" s="5">
        <f t="shared" ref="D347:D410" si="20">10^B347</f>
        <v>1</v>
      </c>
    </row>
    <row r="348" spans="4:4">
      <c r="D348" s="5">
        <f t="shared" si="20"/>
        <v>1</v>
      </c>
    </row>
    <row r="349" spans="4:4">
      <c r="D349" s="5">
        <f t="shared" si="20"/>
        <v>1</v>
      </c>
    </row>
    <row r="350" spans="4:4">
      <c r="D350" s="5">
        <f t="shared" si="20"/>
        <v>1</v>
      </c>
    </row>
    <row r="351" spans="4:4">
      <c r="D351" s="5">
        <f t="shared" si="20"/>
        <v>1</v>
      </c>
    </row>
    <row r="352" spans="4:4">
      <c r="D352" s="5">
        <f t="shared" si="20"/>
        <v>1</v>
      </c>
    </row>
    <row r="353" spans="4:4">
      <c r="D353" s="5">
        <f t="shared" si="20"/>
        <v>1</v>
      </c>
    </row>
    <row r="354" spans="4:4">
      <c r="D354" s="5">
        <f t="shared" si="20"/>
        <v>1</v>
      </c>
    </row>
    <row r="355" spans="4:4">
      <c r="D355" s="5">
        <f t="shared" si="20"/>
        <v>1</v>
      </c>
    </row>
    <row r="356" spans="4:4">
      <c r="D356" s="5">
        <f t="shared" si="20"/>
        <v>1</v>
      </c>
    </row>
    <row r="357" spans="4:4">
      <c r="D357" s="5">
        <f t="shared" si="20"/>
        <v>1</v>
      </c>
    </row>
    <row r="358" spans="4:4">
      <c r="D358" s="5">
        <f t="shared" si="20"/>
        <v>1</v>
      </c>
    </row>
    <row r="359" spans="4:4">
      <c r="D359" s="5">
        <f t="shared" si="20"/>
        <v>1</v>
      </c>
    </row>
    <row r="360" spans="4:4">
      <c r="D360" s="5">
        <f t="shared" si="20"/>
        <v>1</v>
      </c>
    </row>
    <row r="361" spans="4:4">
      <c r="D361" s="5">
        <f t="shared" si="20"/>
        <v>1</v>
      </c>
    </row>
    <row r="362" spans="4:4">
      <c r="D362" s="5">
        <f t="shared" si="20"/>
        <v>1</v>
      </c>
    </row>
    <row r="363" spans="4:4">
      <c r="D363" s="5">
        <f t="shared" si="20"/>
        <v>1</v>
      </c>
    </row>
    <row r="364" spans="4:4">
      <c r="D364" s="5">
        <f t="shared" si="20"/>
        <v>1</v>
      </c>
    </row>
    <row r="365" spans="4:4">
      <c r="D365" s="5">
        <f t="shared" si="20"/>
        <v>1</v>
      </c>
    </row>
    <row r="366" spans="4:4">
      <c r="D366" s="5">
        <f t="shared" si="20"/>
        <v>1</v>
      </c>
    </row>
    <row r="367" spans="4:4">
      <c r="D367" s="5">
        <f t="shared" si="20"/>
        <v>1</v>
      </c>
    </row>
    <row r="368" spans="4:4">
      <c r="D368" s="5">
        <f t="shared" si="20"/>
        <v>1</v>
      </c>
    </row>
    <row r="369" spans="4:4">
      <c r="D369" s="5">
        <f t="shared" si="20"/>
        <v>1</v>
      </c>
    </row>
    <row r="370" spans="4:4">
      <c r="D370" s="5">
        <f t="shared" si="20"/>
        <v>1</v>
      </c>
    </row>
    <row r="371" spans="4:4">
      <c r="D371" s="5">
        <f t="shared" si="20"/>
        <v>1</v>
      </c>
    </row>
    <row r="372" spans="4:4">
      <c r="D372" s="5">
        <f t="shared" si="20"/>
        <v>1</v>
      </c>
    </row>
    <row r="373" spans="4:4">
      <c r="D373" s="5">
        <f t="shared" si="20"/>
        <v>1</v>
      </c>
    </row>
    <row r="374" spans="4:4">
      <c r="D374" s="5">
        <f t="shared" si="20"/>
        <v>1</v>
      </c>
    </row>
    <row r="375" spans="4:4">
      <c r="D375" s="5">
        <f t="shared" si="20"/>
        <v>1</v>
      </c>
    </row>
    <row r="376" spans="4:4">
      <c r="D376" s="5">
        <f t="shared" si="20"/>
        <v>1</v>
      </c>
    </row>
    <row r="377" spans="4:4">
      <c r="D377" s="5">
        <f t="shared" si="20"/>
        <v>1</v>
      </c>
    </row>
    <row r="378" spans="4:4">
      <c r="D378" s="5">
        <f t="shared" si="20"/>
        <v>1</v>
      </c>
    </row>
    <row r="379" spans="4:4">
      <c r="D379" s="5">
        <f t="shared" si="20"/>
        <v>1</v>
      </c>
    </row>
    <row r="380" spans="4:4">
      <c r="D380" s="5">
        <f t="shared" si="20"/>
        <v>1</v>
      </c>
    </row>
    <row r="381" spans="4:4">
      <c r="D381" s="5">
        <f t="shared" si="20"/>
        <v>1</v>
      </c>
    </row>
    <row r="382" spans="4:4">
      <c r="D382" s="5">
        <f t="shared" si="20"/>
        <v>1</v>
      </c>
    </row>
    <row r="383" spans="4:4">
      <c r="D383" s="5">
        <f t="shared" si="20"/>
        <v>1</v>
      </c>
    </row>
    <row r="384" spans="4:4">
      <c r="D384" s="5">
        <f t="shared" si="20"/>
        <v>1</v>
      </c>
    </row>
    <row r="385" spans="4:4">
      <c r="D385" s="5">
        <f t="shared" si="20"/>
        <v>1</v>
      </c>
    </row>
    <row r="386" spans="4:4">
      <c r="D386" s="5">
        <f t="shared" si="20"/>
        <v>1</v>
      </c>
    </row>
    <row r="387" spans="4:4">
      <c r="D387" s="5">
        <f t="shared" si="20"/>
        <v>1</v>
      </c>
    </row>
    <row r="388" spans="4:4">
      <c r="D388" s="5">
        <f t="shared" si="20"/>
        <v>1</v>
      </c>
    </row>
    <row r="389" spans="4:4">
      <c r="D389" s="5">
        <f t="shared" si="20"/>
        <v>1</v>
      </c>
    </row>
    <row r="390" spans="4:4">
      <c r="D390" s="5">
        <f t="shared" si="20"/>
        <v>1</v>
      </c>
    </row>
    <row r="391" spans="4:4">
      <c r="D391" s="5">
        <f t="shared" si="20"/>
        <v>1</v>
      </c>
    </row>
    <row r="392" spans="4:4">
      <c r="D392" s="5">
        <f t="shared" si="20"/>
        <v>1</v>
      </c>
    </row>
    <row r="393" spans="4:4">
      <c r="D393" s="5">
        <f t="shared" si="20"/>
        <v>1</v>
      </c>
    </row>
    <row r="394" spans="4:4">
      <c r="D394" s="5">
        <f t="shared" si="20"/>
        <v>1</v>
      </c>
    </row>
    <row r="395" spans="4:4">
      <c r="D395" s="5">
        <f t="shared" si="20"/>
        <v>1</v>
      </c>
    </row>
    <row r="396" spans="4:4">
      <c r="D396" s="5">
        <f t="shared" si="20"/>
        <v>1</v>
      </c>
    </row>
    <row r="397" spans="4:4">
      <c r="D397" s="5">
        <f t="shared" si="20"/>
        <v>1</v>
      </c>
    </row>
    <row r="398" spans="4:4">
      <c r="D398" s="5">
        <f t="shared" si="20"/>
        <v>1</v>
      </c>
    </row>
    <row r="399" spans="4:4">
      <c r="D399" s="5">
        <f t="shared" si="20"/>
        <v>1</v>
      </c>
    </row>
    <row r="400" spans="4:4">
      <c r="D400" s="5">
        <f t="shared" si="20"/>
        <v>1</v>
      </c>
    </row>
    <row r="401" spans="4:4">
      <c r="D401" s="5">
        <f t="shared" si="20"/>
        <v>1</v>
      </c>
    </row>
    <row r="402" spans="4:4">
      <c r="D402" s="5">
        <f t="shared" si="20"/>
        <v>1</v>
      </c>
    </row>
    <row r="403" spans="4:4">
      <c r="D403" s="5">
        <f t="shared" si="20"/>
        <v>1</v>
      </c>
    </row>
    <row r="404" spans="4:4">
      <c r="D404" s="5">
        <f t="shared" si="20"/>
        <v>1</v>
      </c>
    </row>
    <row r="405" spans="4:4">
      <c r="D405" s="5">
        <f t="shared" si="20"/>
        <v>1</v>
      </c>
    </row>
    <row r="406" spans="4:4">
      <c r="D406" s="5">
        <f t="shared" si="20"/>
        <v>1</v>
      </c>
    </row>
    <row r="407" spans="4:4">
      <c r="D407" s="5">
        <f t="shared" si="20"/>
        <v>1</v>
      </c>
    </row>
    <row r="408" spans="4:4">
      <c r="D408" s="5">
        <f t="shared" si="20"/>
        <v>1</v>
      </c>
    </row>
    <row r="409" spans="4:4">
      <c r="D409" s="5">
        <f t="shared" si="20"/>
        <v>1</v>
      </c>
    </row>
    <row r="410" spans="4:4">
      <c r="D410" s="5">
        <f t="shared" si="20"/>
        <v>1</v>
      </c>
    </row>
    <row r="411" spans="4:4">
      <c r="D411" s="5">
        <f t="shared" ref="D411:D474" si="21">10^B411</f>
        <v>1</v>
      </c>
    </row>
    <row r="412" spans="4:4">
      <c r="D412" s="5">
        <f t="shared" si="21"/>
        <v>1</v>
      </c>
    </row>
    <row r="413" spans="4:4">
      <c r="D413" s="5">
        <f t="shared" si="21"/>
        <v>1</v>
      </c>
    </row>
    <row r="414" spans="4:4">
      <c r="D414" s="5">
        <f t="shared" si="21"/>
        <v>1</v>
      </c>
    </row>
    <row r="415" spans="4:4">
      <c r="D415" s="5">
        <f t="shared" si="21"/>
        <v>1</v>
      </c>
    </row>
    <row r="416" spans="4:4">
      <c r="D416" s="5">
        <f t="shared" si="21"/>
        <v>1</v>
      </c>
    </row>
    <row r="417" spans="4:4">
      <c r="D417" s="5">
        <f t="shared" si="21"/>
        <v>1</v>
      </c>
    </row>
    <row r="418" spans="4:4">
      <c r="D418" s="5">
        <f t="shared" si="21"/>
        <v>1</v>
      </c>
    </row>
    <row r="419" spans="4:4">
      <c r="D419" s="5">
        <f t="shared" si="21"/>
        <v>1</v>
      </c>
    </row>
    <row r="420" spans="4:4">
      <c r="D420" s="5">
        <f t="shared" si="21"/>
        <v>1</v>
      </c>
    </row>
    <row r="421" spans="4:4">
      <c r="D421" s="5">
        <f t="shared" si="21"/>
        <v>1</v>
      </c>
    </row>
    <row r="422" spans="4:4">
      <c r="D422" s="5">
        <f t="shared" si="21"/>
        <v>1</v>
      </c>
    </row>
    <row r="423" spans="4:4">
      <c r="D423" s="5">
        <f t="shared" si="21"/>
        <v>1</v>
      </c>
    </row>
    <row r="424" spans="4:4">
      <c r="D424" s="5">
        <f t="shared" si="21"/>
        <v>1</v>
      </c>
    </row>
    <row r="425" spans="4:4">
      <c r="D425" s="5">
        <f t="shared" si="21"/>
        <v>1</v>
      </c>
    </row>
    <row r="426" spans="4:4">
      <c r="D426" s="5">
        <f t="shared" si="21"/>
        <v>1</v>
      </c>
    </row>
    <row r="427" spans="4:4">
      <c r="D427" s="5">
        <f t="shared" si="21"/>
        <v>1</v>
      </c>
    </row>
    <row r="428" spans="4:4">
      <c r="D428" s="5">
        <f t="shared" si="21"/>
        <v>1</v>
      </c>
    </row>
    <row r="429" spans="4:4">
      <c r="D429" s="5">
        <f t="shared" si="21"/>
        <v>1</v>
      </c>
    </row>
    <row r="430" spans="4:4">
      <c r="D430" s="5">
        <f t="shared" si="21"/>
        <v>1</v>
      </c>
    </row>
    <row r="431" spans="4:4">
      <c r="D431" s="5">
        <f t="shared" si="21"/>
        <v>1</v>
      </c>
    </row>
    <row r="432" spans="4:4">
      <c r="D432" s="5">
        <f t="shared" si="21"/>
        <v>1</v>
      </c>
    </row>
    <row r="433" spans="4:4">
      <c r="D433" s="5">
        <f t="shared" si="21"/>
        <v>1</v>
      </c>
    </row>
    <row r="434" spans="4:4">
      <c r="D434" s="5">
        <f t="shared" si="21"/>
        <v>1</v>
      </c>
    </row>
    <row r="435" spans="4:4">
      <c r="D435" s="5">
        <f t="shared" si="21"/>
        <v>1</v>
      </c>
    </row>
    <row r="436" spans="4:4">
      <c r="D436" s="5">
        <f t="shared" si="21"/>
        <v>1</v>
      </c>
    </row>
    <row r="437" spans="4:4">
      <c r="D437" s="5">
        <f t="shared" si="21"/>
        <v>1</v>
      </c>
    </row>
    <row r="438" spans="4:4">
      <c r="D438" s="5">
        <f t="shared" si="21"/>
        <v>1</v>
      </c>
    </row>
    <row r="439" spans="4:4">
      <c r="D439" s="5">
        <f t="shared" si="21"/>
        <v>1</v>
      </c>
    </row>
    <row r="440" spans="4:4">
      <c r="D440" s="5">
        <f t="shared" si="21"/>
        <v>1</v>
      </c>
    </row>
    <row r="441" spans="4:4">
      <c r="D441" s="5">
        <f t="shared" si="21"/>
        <v>1</v>
      </c>
    </row>
    <row r="442" spans="4:4">
      <c r="D442" s="5">
        <f t="shared" si="21"/>
        <v>1</v>
      </c>
    </row>
    <row r="443" spans="4:4">
      <c r="D443" s="5">
        <f t="shared" si="21"/>
        <v>1</v>
      </c>
    </row>
    <row r="444" spans="4:4">
      <c r="D444" s="5">
        <f t="shared" si="21"/>
        <v>1</v>
      </c>
    </row>
    <row r="445" spans="4:4">
      <c r="D445" s="5">
        <f t="shared" si="21"/>
        <v>1</v>
      </c>
    </row>
    <row r="446" spans="4:4">
      <c r="D446" s="5">
        <f t="shared" si="21"/>
        <v>1</v>
      </c>
    </row>
    <row r="447" spans="4:4">
      <c r="D447" s="5">
        <f t="shared" si="21"/>
        <v>1</v>
      </c>
    </row>
    <row r="448" spans="4:4">
      <c r="D448" s="5">
        <f t="shared" si="21"/>
        <v>1</v>
      </c>
    </row>
    <row r="449" spans="4:4">
      <c r="D449" s="5">
        <f t="shared" si="21"/>
        <v>1</v>
      </c>
    </row>
    <row r="450" spans="4:4">
      <c r="D450" s="5">
        <f t="shared" si="21"/>
        <v>1</v>
      </c>
    </row>
    <row r="451" spans="4:4">
      <c r="D451" s="5">
        <f t="shared" si="21"/>
        <v>1</v>
      </c>
    </row>
    <row r="452" spans="4:4">
      <c r="D452" s="5">
        <f t="shared" si="21"/>
        <v>1</v>
      </c>
    </row>
    <row r="453" spans="4:4">
      <c r="D453" s="5">
        <f t="shared" si="21"/>
        <v>1</v>
      </c>
    </row>
    <row r="454" spans="4:4">
      <c r="D454" s="5">
        <f t="shared" si="21"/>
        <v>1</v>
      </c>
    </row>
    <row r="455" spans="4:4">
      <c r="D455" s="5">
        <f t="shared" si="21"/>
        <v>1</v>
      </c>
    </row>
    <row r="456" spans="4:4">
      <c r="D456" s="5">
        <f t="shared" si="21"/>
        <v>1</v>
      </c>
    </row>
    <row r="457" spans="4:4">
      <c r="D457" s="5">
        <f t="shared" si="21"/>
        <v>1</v>
      </c>
    </row>
    <row r="458" spans="4:4">
      <c r="D458" s="5">
        <f t="shared" si="21"/>
        <v>1</v>
      </c>
    </row>
    <row r="459" spans="4:4">
      <c r="D459" s="5">
        <f t="shared" si="21"/>
        <v>1</v>
      </c>
    </row>
    <row r="460" spans="4:4">
      <c r="D460" s="5">
        <f t="shared" si="21"/>
        <v>1</v>
      </c>
    </row>
    <row r="461" spans="4:4">
      <c r="D461" s="5">
        <f t="shared" si="21"/>
        <v>1</v>
      </c>
    </row>
    <row r="462" spans="4:4">
      <c r="D462" s="5">
        <f t="shared" si="21"/>
        <v>1</v>
      </c>
    </row>
    <row r="463" spans="4:4">
      <c r="D463" s="5">
        <f t="shared" si="21"/>
        <v>1</v>
      </c>
    </row>
    <row r="464" spans="4:4">
      <c r="D464" s="5">
        <f t="shared" si="21"/>
        <v>1</v>
      </c>
    </row>
    <row r="465" spans="4:4">
      <c r="D465" s="5">
        <f t="shared" si="21"/>
        <v>1</v>
      </c>
    </row>
    <row r="466" spans="4:4">
      <c r="D466" s="5">
        <f t="shared" si="21"/>
        <v>1</v>
      </c>
    </row>
    <row r="467" spans="4:4">
      <c r="D467" s="5">
        <f t="shared" si="21"/>
        <v>1</v>
      </c>
    </row>
    <row r="468" spans="4:4">
      <c r="D468" s="5">
        <f t="shared" si="21"/>
        <v>1</v>
      </c>
    </row>
    <row r="469" spans="4:4">
      <c r="D469" s="5">
        <f t="shared" si="21"/>
        <v>1</v>
      </c>
    </row>
    <row r="470" spans="4:4">
      <c r="D470" s="5">
        <f t="shared" si="21"/>
        <v>1</v>
      </c>
    </row>
    <row r="471" spans="4:4">
      <c r="D471" s="5">
        <f t="shared" si="21"/>
        <v>1</v>
      </c>
    </row>
    <row r="472" spans="4:4">
      <c r="D472" s="5">
        <f t="shared" si="21"/>
        <v>1</v>
      </c>
    </row>
    <row r="473" spans="4:4">
      <c r="D473" s="5">
        <f t="shared" si="21"/>
        <v>1</v>
      </c>
    </row>
    <row r="474" spans="4:4">
      <c r="D474" s="5">
        <f t="shared" si="21"/>
        <v>1</v>
      </c>
    </row>
    <row r="475" spans="4:4">
      <c r="D475" s="5">
        <f t="shared" ref="D475:D538" si="22">10^B475</f>
        <v>1</v>
      </c>
    </row>
    <row r="476" spans="4:4">
      <c r="D476" s="5">
        <f t="shared" si="22"/>
        <v>1</v>
      </c>
    </row>
    <row r="477" spans="4:4">
      <c r="D477" s="5">
        <f t="shared" si="22"/>
        <v>1</v>
      </c>
    </row>
    <row r="478" spans="4:4">
      <c r="D478" s="5">
        <f t="shared" si="22"/>
        <v>1</v>
      </c>
    </row>
    <row r="479" spans="4:4">
      <c r="D479" s="5">
        <f t="shared" si="22"/>
        <v>1</v>
      </c>
    </row>
    <row r="480" spans="4:4">
      <c r="D480" s="5">
        <f t="shared" si="22"/>
        <v>1</v>
      </c>
    </row>
    <row r="481" spans="4:4">
      <c r="D481" s="5">
        <f t="shared" si="22"/>
        <v>1</v>
      </c>
    </row>
    <row r="482" spans="4:4">
      <c r="D482" s="5">
        <f t="shared" si="22"/>
        <v>1</v>
      </c>
    </row>
    <row r="483" spans="4:4">
      <c r="D483" s="5">
        <f t="shared" si="22"/>
        <v>1</v>
      </c>
    </row>
    <row r="484" spans="4:4">
      <c r="D484" s="5">
        <f t="shared" si="22"/>
        <v>1</v>
      </c>
    </row>
    <row r="485" spans="4:4">
      <c r="D485" s="5">
        <f t="shared" si="22"/>
        <v>1</v>
      </c>
    </row>
    <row r="486" spans="4:4">
      <c r="D486" s="5">
        <f t="shared" si="22"/>
        <v>1</v>
      </c>
    </row>
    <row r="487" spans="4:4">
      <c r="D487" s="5">
        <f t="shared" si="22"/>
        <v>1</v>
      </c>
    </row>
    <row r="488" spans="4:4">
      <c r="D488" s="5">
        <f t="shared" si="22"/>
        <v>1</v>
      </c>
    </row>
    <row r="489" spans="4:4">
      <c r="D489" s="5">
        <f t="shared" si="22"/>
        <v>1</v>
      </c>
    </row>
    <row r="490" spans="4:4">
      <c r="D490" s="5">
        <f t="shared" si="22"/>
        <v>1</v>
      </c>
    </row>
    <row r="491" spans="4:4">
      <c r="D491" s="5">
        <f t="shared" si="22"/>
        <v>1</v>
      </c>
    </row>
    <row r="492" spans="4:4">
      <c r="D492" s="5">
        <f t="shared" si="22"/>
        <v>1</v>
      </c>
    </row>
    <row r="493" spans="4:4">
      <c r="D493" s="5">
        <f t="shared" si="22"/>
        <v>1</v>
      </c>
    </row>
    <row r="494" spans="4:4">
      <c r="D494" s="5">
        <f t="shared" si="22"/>
        <v>1</v>
      </c>
    </row>
    <row r="495" spans="4:4">
      <c r="D495" s="5">
        <f t="shared" si="22"/>
        <v>1</v>
      </c>
    </row>
    <row r="496" spans="4:4">
      <c r="D496" s="5">
        <f t="shared" si="22"/>
        <v>1</v>
      </c>
    </row>
    <row r="497" spans="4:4">
      <c r="D497" s="5">
        <f t="shared" si="22"/>
        <v>1</v>
      </c>
    </row>
    <row r="498" spans="4:4">
      <c r="D498" s="5">
        <f t="shared" si="22"/>
        <v>1</v>
      </c>
    </row>
    <row r="499" spans="4:4">
      <c r="D499" s="5">
        <f t="shared" si="22"/>
        <v>1</v>
      </c>
    </row>
    <row r="500" spans="4:4">
      <c r="D500" s="5">
        <f t="shared" si="22"/>
        <v>1</v>
      </c>
    </row>
    <row r="501" spans="4:4">
      <c r="D501" s="5">
        <f t="shared" si="22"/>
        <v>1</v>
      </c>
    </row>
    <row r="502" spans="4:4">
      <c r="D502" s="5">
        <f t="shared" si="22"/>
        <v>1</v>
      </c>
    </row>
    <row r="503" spans="4:4">
      <c r="D503" s="5">
        <f t="shared" si="22"/>
        <v>1</v>
      </c>
    </row>
    <row r="504" spans="4:4">
      <c r="D504" s="5">
        <f t="shared" si="22"/>
        <v>1</v>
      </c>
    </row>
    <row r="505" spans="4:4">
      <c r="D505" s="5">
        <f t="shared" si="22"/>
        <v>1</v>
      </c>
    </row>
    <row r="506" spans="4:4">
      <c r="D506" s="5">
        <f t="shared" si="22"/>
        <v>1</v>
      </c>
    </row>
    <row r="507" spans="4:4">
      <c r="D507" s="5">
        <f t="shared" si="22"/>
        <v>1</v>
      </c>
    </row>
    <row r="508" spans="4:4">
      <c r="D508" s="5">
        <f t="shared" si="22"/>
        <v>1</v>
      </c>
    </row>
    <row r="509" spans="4:4">
      <c r="D509" s="5">
        <f t="shared" si="22"/>
        <v>1</v>
      </c>
    </row>
    <row r="510" spans="4:4">
      <c r="D510" s="5">
        <f t="shared" si="22"/>
        <v>1</v>
      </c>
    </row>
    <row r="511" spans="4:4">
      <c r="D511" s="5">
        <f t="shared" si="22"/>
        <v>1</v>
      </c>
    </row>
    <row r="512" spans="4:4">
      <c r="D512" s="5">
        <f t="shared" si="22"/>
        <v>1</v>
      </c>
    </row>
    <row r="513" spans="4:4">
      <c r="D513" s="5">
        <f t="shared" si="22"/>
        <v>1</v>
      </c>
    </row>
    <row r="514" spans="4:4">
      <c r="D514" s="5">
        <f t="shared" si="22"/>
        <v>1</v>
      </c>
    </row>
    <row r="515" spans="4:4">
      <c r="D515" s="5">
        <f t="shared" si="22"/>
        <v>1</v>
      </c>
    </row>
    <row r="516" spans="4:4">
      <c r="D516" s="5">
        <f t="shared" si="22"/>
        <v>1</v>
      </c>
    </row>
    <row r="517" spans="4:4">
      <c r="D517" s="5">
        <f t="shared" si="22"/>
        <v>1</v>
      </c>
    </row>
    <row r="518" spans="4:4">
      <c r="D518" s="5">
        <f t="shared" si="22"/>
        <v>1</v>
      </c>
    </row>
    <row r="519" spans="4:4">
      <c r="D519" s="5">
        <f t="shared" si="22"/>
        <v>1</v>
      </c>
    </row>
    <row r="520" spans="4:4">
      <c r="D520" s="5">
        <f t="shared" si="22"/>
        <v>1</v>
      </c>
    </row>
    <row r="521" spans="4:4">
      <c r="D521" s="5">
        <f t="shared" si="22"/>
        <v>1</v>
      </c>
    </row>
    <row r="522" spans="4:4">
      <c r="D522" s="5">
        <f t="shared" si="22"/>
        <v>1</v>
      </c>
    </row>
    <row r="523" spans="4:4">
      <c r="D523" s="5">
        <f t="shared" si="22"/>
        <v>1</v>
      </c>
    </row>
    <row r="524" spans="4:4">
      <c r="D524" s="5">
        <f t="shared" si="22"/>
        <v>1</v>
      </c>
    </row>
    <row r="525" spans="4:4">
      <c r="D525" s="5">
        <f t="shared" si="22"/>
        <v>1</v>
      </c>
    </row>
    <row r="526" spans="4:4">
      <c r="D526" s="5">
        <f t="shared" si="22"/>
        <v>1</v>
      </c>
    </row>
    <row r="527" spans="4:4">
      <c r="D527" s="5">
        <f t="shared" si="22"/>
        <v>1</v>
      </c>
    </row>
    <row r="528" spans="4:4">
      <c r="D528" s="5">
        <f t="shared" si="22"/>
        <v>1</v>
      </c>
    </row>
    <row r="529" spans="4:4">
      <c r="D529" s="5">
        <f t="shared" si="22"/>
        <v>1</v>
      </c>
    </row>
    <row r="530" spans="4:4">
      <c r="D530" s="5">
        <f t="shared" si="22"/>
        <v>1</v>
      </c>
    </row>
    <row r="531" spans="4:4">
      <c r="D531" s="5">
        <f t="shared" si="22"/>
        <v>1</v>
      </c>
    </row>
    <row r="532" spans="4:4">
      <c r="D532" s="5">
        <f t="shared" si="22"/>
        <v>1</v>
      </c>
    </row>
    <row r="533" spans="4:4">
      <c r="D533" s="5">
        <f t="shared" si="22"/>
        <v>1</v>
      </c>
    </row>
    <row r="534" spans="4:4">
      <c r="D534" s="5">
        <f t="shared" si="22"/>
        <v>1</v>
      </c>
    </row>
    <row r="535" spans="4:4">
      <c r="D535" s="5">
        <f t="shared" si="22"/>
        <v>1</v>
      </c>
    </row>
    <row r="536" spans="4:4">
      <c r="D536" s="5">
        <f t="shared" si="22"/>
        <v>1</v>
      </c>
    </row>
    <row r="537" spans="4:4">
      <c r="D537" s="5">
        <f t="shared" si="22"/>
        <v>1</v>
      </c>
    </row>
    <row r="538" spans="4:4">
      <c r="D538" s="5">
        <f t="shared" si="22"/>
        <v>1</v>
      </c>
    </row>
    <row r="539" spans="4:4">
      <c r="D539" s="5">
        <f t="shared" ref="D539:D602" si="23">10^B539</f>
        <v>1</v>
      </c>
    </row>
    <row r="540" spans="4:4">
      <c r="D540" s="5">
        <f t="shared" si="23"/>
        <v>1</v>
      </c>
    </row>
    <row r="541" spans="4:4">
      <c r="D541" s="5">
        <f t="shared" si="23"/>
        <v>1</v>
      </c>
    </row>
    <row r="542" spans="4:4">
      <c r="D542" s="5">
        <f t="shared" si="23"/>
        <v>1</v>
      </c>
    </row>
    <row r="543" spans="4:4">
      <c r="D543" s="5">
        <f t="shared" si="23"/>
        <v>1</v>
      </c>
    </row>
    <row r="544" spans="4:4">
      <c r="D544" s="5">
        <f t="shared" si="23"/>
        <v>1</v>
      </c>
    </row>
    <row r="545" spans="4:4">
      <c r="D545" s="5">
        <f t="shared" si="23"/>
        <v>1</v>
      </c>
    </row>
    <row r="546" spans="4:4">
      <c r="D546" s="5">
        <f t="shared" si="23"/>
        <v>1</v>
      </c>
    </row>
    <row r="547" spans="4:4">
      <c r="D547" s="5">
        <f t="shared" si="23"/>
        <v>1</v>
      </c>
    </row>
    <row r="548" spans="4:4">
      <c r="D548" s="5">
        <f t="shared" si="23"/>
        <v>1</v>
      </c>
    </row>
    <row r="549" spans="4:4">
      <c r="D549" s="5">
        <f t="shared" si="23"/>
        <v>1</v>
      </c>
    </row>
    <row r="550" spans="4:4">
      <c r="D550" s="5">
        <f t="shared" si="23"/>
        <v>1</v>
      </c>
    </row>
    <row r="551" spans="4:4">
      <c r="D551" s="5">
        <f t="shared" si="23"/>
        <v>1</v>
      </c>
    </row>
    <row r="552" spans="4:4">
      <c r="D552" s="5">
        <f t="shared" si="23"/>
        <v>1</v>
      </c>
    </row>
    <row r="553" spans="4:4">
      <c r="D553" s="5">
        <f t="shared" si="23"/>
        <v>1</v>
      </c>
    </row>
    <row r="554" spans="4:4">
      <c r="D554" s="5">
        <f t="shared" si="23"/>
        <v>1</v>
      </c>
    </row>
    <row r="555" spans="4:4">
      <c r="D555" s="5">
        <f t="shared" si="23"/>
        <v>1</v>
      </c>
    </row>
    <row r="556" spans="4:4">
      <c r="D556" s="5">
        <f t="shared" si="23"/>
        <v>1</v>
      </c>
    </row>
    <row r="557" spans="4:4">
      <c r="D557" s="5">
        <f t="shared" si="23"/>
        <v>1</v>
      </c>
    </row>
    <row r="558" spans="4:4">
      <c r="D558" s="5">
        <f t="shared" si="23"/>
        <v>1</v>
      </c>
    </row>
    <row r="559" spans="4:4">
      <c r="D559" s="5">
        <f t="shared" si="23"/>
        <v>1</v>
      </c>
    </row>
    <row r="560" spans="4:4">
      <c r="D560" s="5">
        <f t="shared" si="23"/>
        <v>1</v>
      </c>
    </row>
    <row r="561" spans="4:4">
      <c r="D561" s="5">
        <f t="shared" si="23"/>
        <v>1</v>
      </c>
    </row>
    <row r="562" spans="4:4">
      <c r="D562" s="5">
        <f t="shared" si="23"/>
        <v>1</v>
      </c>
    </row>
    <row r="563" spans="4:4">
      <c r="D563" s="5">
        <f t="shared" si="23"/>
        <v>1</v>
      </c>
    </row>
    <row r="564" spans="4:4">
      <c r="D564" s="5">
        <f t="shared" si="23"/>
        <v>1</v>
      </c>
    </row>
    <row r="565" spans="4:4">
      <c r="D565" s="5">
        <f t="shared" si="23"/>
        <v>1</v>
      </c>
    </row>
    <row r="566" spans="4:4">
      <c r="D566" s="5">
        <f t="shared" si="23"/>
        <v>1</v>
      </c>
    </row>
    <row r="567" spans="4:4">
      <c r="D567" s="5">
        <f t="shared" si="23"/>
        <v>1</v>
      </c>
    </row>
    <row r="568" spans="4:4">
      <c r="D568" s="5">
        <f t="shared" si="23"/>
        <v>1</v>
      </c>
    </row>
    <row r="569" spans="4:4">
      <c r="D569" s="5">
        <f t="shared" si="23"/>
        <v>1</v>
      </c>
    </row>
    <row r="570" spans="4:4">
      <c r="D570" s="5">
        <f t="shared" si="23"/>
        <v>1</v>
      </c>
    </row>
    <row r="571" spans="4:4">
      <c r="D571" s="5">
        <f t="shared" si="23"/>
        <v>1</v>
      </c>
    </row>
    <row r="572" spans="4:4">
      <c r="D572" s="5">
        <f t="shared" si="23"/>
        <v>1</v>
      </c>
    </row>
    <row r="573" spans="4:4">
      <c r="D573" s="5">
        <f t="shared" si="23"/>
        <v>1</v>
      </c>
    </row>
    <row r="574" spans="4:4">
      <c r="D574" s="5">
        <f t="shared" si="23"/>
        <v>1</v>
      </c>
    </row>
    <row r="575" spans="4:4">
      <c r="D575" s="5">
        <f t="shared" si="23"/>
        <v>1</v>
      </c>
    </row>
    <row r="576" spans="4:4">
      <c r="D576" s="5">
        <f t="shared" si="23"/>
        <v>1</v>
      </c>
    </row>
    <row r="577" spans="4:4">
      <c r="D577" s="5">
        <f t="shared" si="23"/>
        <v>1</v>
      </c>
    </row>
    <row r="578" spans="4:4">
      <c r="D578" s="5">
        <f t="shared" si="23"/>
        <v>1</v>
      </c>
    </row>
    <row r="579" spans="4:4">
      <c r="D579" s="5">
        <f t="shared" si="23"/>
        <v>1</v>
      </c>
    </row>
    <row r="580" spans="4:4">
      <c r="D580" s="5">
        <f t="shared" si="23"/>
        <v>1</v>
      </c>
    </row>
    <row r="581" spans="4:4">
      <c r="D581" s="5">
        <f t="shared" si="23"/>
        <v>1</v>
      </c>
    </row>
    <row r="582" spans="4:4">
      <c r="D582" s="5">
        <f t="shared" si="23"/>
        <v>1</v>
      </c>
    </row>
    <row r="583" spans="4:4">
      <c r="D583" s="5">
        <f t="shared" si="23"/>
        <v>1</v>
      </c>
    </row>
    <row r="584" spans="4:4">
      <c r="D584" s="5">
        <f t="shared" si="23"/>
        <v>1</v>
      </c>
    </row>
    <row r="585" spans="4:4">
      <c r="D585" s="5">
        <f t="shared" si="23"/>
        <v>1</v>
      </c>
    </row>
    <row r="586" spans="4:4">
      <c r="D586" s="5">
        <f t="shared" si="23"/>
        <v>1</v>
      </c>
    </row>
    <row r="587" spans="4:4">
      <c r="D587" s="5">
        <f t="shared" si="23"/>
        <v>1</v>
      </c>
    </row>
    <row r="588" spans="4:4">
      <c r="D588" s="5">
        <f t="shared" si="23"/>
        <v>1</v>
      </c>
    </row>
    <row r="589" spans="4:4">
      <c r="D589" s="5">
        <f t="shared" si="23"/>
        <v>1</v>
      </c>
    </row>
    <row r="590" spans="4:4">
      <c r="D590" s="5">
        <f t="shared" si="23"/>
        <v>1</v>
      </c>
    </row>
    <row r="591" spans="4:4">
      <c r="D591" s="5">
        <f t="shared" si="23"/>
        <v>1</v>
      </c>
    </row>
    <row r="592" spans="4:4">
      <c r="D592" s="5">
        <f t="shared" si="23"/>
        <v>1</v>
      </c>
    </row>
    <row r="593" spans="4:4">
      <c r="D593" s="5">
        <f t="shared" si="23"/>
        <v>1</v>
      </c>
    </row>
    <row r="594" spans="4:4">
      <c r="D594" s="5">
        <f t="shared" si="23"/>
        <v>1</v>
      </c>
    </row>
    <row r="595" spans="4:4">
      <c r="D595" s="5">
        <f t="shared" si="23"/>
        <v>1</v>
      </c>
    </row>
    <row r="596" spans="4:4">
      <c r="D596" s="5">
        <f t="shared" si="23"/>
        <v>1</v>
      </c>
    </row>
    <row r="597" spans="4:4">
      <c r="D597" s="5">
        <f t="shared" si="23"/>
        <v>1</v>
      </c>
    </row>
    <row r="598" spans="4:4">
      <c r="D598" s="5">
        <f t="shared" si="23"/>
        <v>1</v>
      </c>
    </row>
    <row r="599" spans="4:4">
      <c r="D599" s="5">
        <f t="shared" si="23"/>
        <v>1</v>
      </c>
    </row>
    <row r="600" spans="4:4">
      <c r="D600" s="5">
        <f t="shared" si="23"/>
        <v>1</v>
      </c>
    </row>
    <row r="601" spans="4:4">
      <c r="D601" s="5">
        <f t="shared" si="23"/>
        <v>1</v>
      </c>
    </row>
    <row r="602" spans="4:4">
      <c r="D602" s="5">
        <f t="shared" si="23"/>
        <v>1</v>
      </c>
    </row>
    <row r="603" spans="4:4">
      <c r="D603" s="5">
        <f t="shared" ref="D603:D666" si="24">10^B603</f>
        <v>1</v>
      </c>
    </row>
    <row r="604" spans="4:4">
      <c r="D604" s="5">
        <f t="shared" si="24"/>
        <v>1</v>
      </c>
    </row>
    <row r="605" spans="4:4">
      <c r="D605" s="5">
        <f t="shared" si="24"/>
        <v>1</v>
      </c>
    </row>
    <row r="606" spans="4:4">
      <c r="D606" s="5">
        <f t="shared" si="24"/>
        <v>1</v>
      </c>
    </row>
    <row r="607" spans="4:4">
      <c r="D607" s="5">
        <f t="shared" si="24"/>
        <v>1</v>
      </c>
    </row>
    <row r="608" spans="4:4">
      <c r="D608" s="5">
        <f t="shared" si="24"/>
        <v>1</v>
      </c>
    </row>
    <row r="609" spans="4:4">
      <c r="D609" s="5">
        <f t="shared" si="24"/>
        <v>1</v>
      </c>
    </row>
    <row r="610" spans="4:4">
      <c r="D610" s="5">
        <f t="shared" si="24"/>
        <v>1</v>
      </c>
    </row>
    <row r="611" spans="4:4">
      <c r="D611" s="5">
        <f t="shared" si="24"/>
        <v>1</v>
      </c>
    </row>
    <row r="612" spans="4:4">
      <c r="D612" s="5">
        <f t="shared" si="24"/>
        <v>1</v>
      </c>
    </row>
    <row r="613" spans="4:4">
      <c r="D613" s="5">
        <f t="shared" si="24"/>
        <v>1</v>
      </c>
    </row>
    <row r="614" spans="4:4">
      <c r="D614" s="5">
        <f t="shared" si="24"/>
        <v>1</v>
      </c>
    </row>
    <row r="615" spans="4:4">
      <c r="D615" s="5">
        <f t="shared" si="24"/>
        <v>1</v>
      </c>
    </row>
    <row r="616" spans="4:4">
      <c r="D616" s="5">
        <f t="shared" si="24"/>
        <v>1</v>
      </c>
    </row>
    <row r="617" spans="4:4">
      <c r="D617" s="5">
        <f t="shared" si="24"/>
        <v>1</v>
      </c>
    </row>
    <row r="618" spans="4:4">
      <c r="D618" s="5">
        <f t="shared" si="24"/>
        <v>1</v>
      </c>
    </row>
    <row r="619" spans="4:4">
      <c r="D619" s="5">
        <f t="shared" si="24"/>
        <v>1</v>
      </c>
    </row>
    <row r="620" spans="4:4">
      <c r="D620" s="5">
        <f t="shared" si="24"/>
        <v>1</v>
      </c>
    </row>
    <row r="621" spans="4:4">
      <c r="D621" s="5">
        <f t="shared" si="24"/>
        <v>1</v>
      </c>
    </row>
    <row r="622" spans="4:4">
      <c r="D622" s="5">
        <f t="shared" si="24"/>
        <v>1</v>
      </c>
    </row>
    <row r="623" spans="4:4">
      <c r="D623" s="5">
        <f t="shared" si="24"/>
        <v>1</v>
      </c>
    </row>
    <row r="624" spans="4:4">
      <c r="D624" s="5">
        <f t="shared" si="24"/>
        <v>1</v>
      </c>
    </row>
    <row r="625" spans="4:4">
      <c r="D625" s="5">
        <f t="shared" si="24"/>
        <v>1</v>
      </c>
    </row>
    <row r="626" spans="4:4">
      <c r="D626" s="5">
        <f t="shared" si="24"/>
        <v>1</v>
      </c>
    </row>
    <row r="627" spans="4:4">
      <c r="D627" s="5">
        <f t="shared" si="24"/>
        <v>1</v>
      </c>
    </row>
    <row r="628" spans="4:4">
      <c r="D628" s="5">
        <f t="shared" si="24"/>
        <v>1</v>
      </c>
    </row>
    <row r="629" spans="4:4">
      <c r="D629" s="5">
        <f t="shared" si="24"/>
        <v>1</v>
      </c>
    </row>
    <row r="630" spans="4:4">
      <c r="D630" s="5">
        <f t="shared" si="24"/>
        <v>1</v>
      </c>
    </row>
    <row r="631" spans="4:4">
      <c r="D631" s="5">
        <f t="shared" si="24"/>
        <v>1</v>
      </c>
    </row>
    <row r="632" spans="4:4">
      <c r="D632" s="5">
        <f t="shared" si="24"/>
        <v>1</v>
      </c>
    </row>
    <row r="633" spans="4:4">
      <c r="D633" s="5">
        <f t="shared" si="24"/>
        <v>1</v>
      </c>
    </row>
    <row r="634" spans="4:4">
      <c r="D634" s="5">
        <f t="shared" si="24"/>
        <v>1</v>
      </c>
    </row>
    <row r="635" spans="4:4">
      <c r="D635" s="5">
        <f t="shared" si="24"/>
        <v>1</v>
      </c>
    </row>
    <row r="636" spans="4:4">
      <c r="D636" s="5">
        <f t="shared" si="24"/>
        <v>1</v>
      </c>
    </row>
    <row r="637" spans="4:4">
      <c r="D637" s="5">
        <f t="shared" si="24"/>
        <v>1</v>
      </c>
    </row>
    <row r="638" spans="4:4">
      <c r="D638" s="5">
        <f t="shared" si="24"/>
        <v>1</v>
      </c>
    </row>
    <row r="639" spans="4:4">
      <c r="D639" s="5">
        <f t="shared" si="24"/>
        <v>1</v>
      </c>
    </row>
    <row r="640" spans="4:4">
      <c r="D640" s="5">
        <f t="shared" si="24"/>
        <v>1</v>
      </c>
    </row>
    <row r="641" spans="4:4">
      <c r="D641" s="5">
        <f t="shared" si="24"/>
        <v>1</v>
      </c>
    </row>
    <row r="642" spans="4:4">
      <c r="D642" s="5">
        <f t="shared" si="24"/>
        <v>1</v>
      </c>
    </row>
    <row r="643" spans="4:4">
      <c r="D643" s="5">
        <f t="shared" si="24"/>
        <v>1</v>
      </c>
    </row>
    <row r="644" spans="4:4">
      <c r="D644" s="5">
        <f t="shared" si="24"/>
        <v>1</v>
      </c>
    </row>
    <row r="645" spans="4:4">
      <c r="D645" s="5">
        <f t="shared" si="24"/>
        <v>1</v>
      </c>
    </row>
    <row r="646" spans="4:4">
      <c r="D646" s="5">
        <f t="shared" si="24"/>
        <v>1</v>
      </c>
    </row>
    <row r="647" spans="4:4">
      <c r="D647" s="5">
        <f t="shared" si="24"/>
        <v>1</v>
      </c>
    </row>
    <row r="648" spans="4:4">
      <c r="D648" s="5">
        <f t="shared" si="24"/>
        <v>1</v>
      </c>
    </row>
    <row r="649" spans="4:4">
      <c r="D649" s="5">
        <f t="shared" si="24"/>
        <v>1</v>
      </c>
    </row>
    <row r="650" spans="4:4">
      <c r="D650" s="5">
        <f t="shared" si="24"/>
        <v>1</v>
      </c>
    </row>
    <row r="651" spans="4:4">
      <c r="D651" s="5">
        <f t="shared" si="24"/>
        <v>1</v>
      </c>
    </row>
    <row r="652" spans="4:4">
      <c r="D652" s="5">
        <f t="shared" si="24"/>
        <v>1</v>
      </c>
    </row>
    <row r="653" spans="4:4">
      <c r="D653" s="5">
        <f t="shared" si="24"/>
        <v>1</v>
      </c>
    </row>
    <row r="654" spans="4:4">
      <c r="D654" s="5">
        <f t="shared" si="24"/>
        <v>1</v>
      </c>
    </row>
    <row r="655" spans="4:4">
      <c r="D655" s="5">
        <f t="shared" si="24"/>
        <v>1</v>
      </c>
    </row>
    <row r="656" spans="4:4">
      <c r="D656" s="5">
        <f t="shared" si="24"/>
        <v>1</v>
      </c>
    </row>
    <row r="657" spans="4:4">
      <c r="D657" s="5">
        <f t="shared" si="24"/>
        <v>1</v>
      </c>
    </row>
    <row r="658" spans="4:4">
      <c r="D658" s="5">
        <f t="shared" si="24"/>
        <v>1</v>
      </c>
    </row>
    <row r="659" spans="4:4">
      <c r="D659" s="5">
        <f t="shared" si="24"/>
        <v>1</v>
      </c>
    </row>
    <row r="660" spans="4:4">
      <c r="D660" s="5">
        <f t="shared" si="24"/>
        <v>1</v>
      </c>
    </row>
    <row r="661" spans="4:4">
      <c r="D661" s="5">
        <f t="shared" si="24"/>
        <v>1</v>
      </c>
    </row>
    <row r="662" spans="4:4">
      <c r="D662" s="5">
        <f t="shared" si="24"/>
        <v>1</v>
      </c>
    </row>
    <row r="663" spans="4:4">
      <c r="D663" s="5">
        <f t="shared" si="24"/>
        <v>1</v>
      </c>
    </row>
    <row r="664" spans="4:4">
      <c r="D664" s="5">
        <f t="shared" si="24"/>
        <v>1</v>
      </c>
    </row>
    <row r="665" spans="4:4">
      <c r="D665" s="5">
        <f t="shared" si="24"/>
        <v>1</v>
      </c>
    </row>
    <row r="666" spans="4:4">
      <c r="D666" s="5">
        <f t="shared" si="24"/>
        <v>1</v>
      </c>
    </row>
    <row r="667" spans="4:4">
      <c r="D667" s="5">
        <f t="shared" ref="D667:D730" si="25">10^B667</f>
        <v>1</v>
      </c>
    </row>
    <row r="668" spans="4:4">
      <c r="D668" s="5">
        <f t="shared" si="25"/>
        <v>1</v>
      </c>
    </row>
    <row r="669" spans="4:4">
      <c r="D669" s="5">
        <f t="shared" si="25"/>
        <v>1</v>
      </c>
    </row>
    <row r="670" spans="4:4">
      <c r="D670" s="5">
        <f t="shared" si="25"/>
        <v>1</v>
      </c>
    </row>
    <row r="671" spans="4:4">
      <c r="D671" s="5">
        <f t="shared" si="25"/>
        <v>1</v>
      </c>
    </row>
    <row r="672" spans="4:4">
      <c r="D672" s="5">
        <f t="shared" si="25"/>
        <v>1</v>
      </c>
    </row>
    <row r="673" spans="4:4">
      <c r="D673" s="5">
        <f t="shared" si="25"/>
        <v>1</v>
      </c>
    </row>
    <row r="674" spans="4:4">
      <c r="D674" s="5">
        <f t="shared" si="25"/>
        <v>1</v>
      </c>
    </row>
    <row r="675" spans="4:4">
      <c r="D675" s="5">
        <f t="shared" si="25"/>
        <v>1</v>
      </c>
    </row>
    <row r="676" spans="4:4">
      <c r="D676" s="5">
        <f t="shared" si="25"/>
        <v>1</v>
      </c>
    </row>
    <row r="677" spans="4:4">
      <c r="D677" s="5">
        <f t="shared" si="25"/>
        <v>1</v>
      </c>
    </row>
    <row r="678" spans="4:4">
      <c r="D678" s="5">
        <f t="shared" si="25"/>
        <v>1</v>
      </c>
    </row>
    <row r="679" spans="4:4">
      <c r="D679" s="5">
        <f t="shared" si="25"/>
        <v>1</v>
      </c>
    </row>
    <row r="680" spans="4:4">
      <c r="D680" s="5">
        <f t="shared" si="25"/>
        <v>1</v>
      </c>
    </row>
    <row r="681" spans="4:4">
      <c r="D681" s="5">
        <f t="shared" si="25"/>
        <v>1</v>
      </c>
    </row>
    <row r="682" spans="4:4">
      <c r="D682" s="5">
        <f t="shared" si="25"/>
        <v>1</v>
      </c>
    </row>
    <row r="683" spans="4:4">
      <c r="D683" s="5">
        <f t="shared" si="25"/>
        <v>1</v>
      </c>
    </row>
    <row r="684" spans="4:4">
      <c r="D684" s="5">
        <f t="shared" si="25"/>
        <v>1</v>
      </c>
    </row>
    <row r="685" spans="4:4">
      <c r="D685" s="5">
        <f t="shared" si="25"/>
        <v>1</v>
      </c>
    </row>
    <row r="686" spans="4:4">
      <c r="D686" s="5">
        <f t="shared" si="25"/>
        <v>1</v>
      </c>
    </row>
    <row r="687" spans="4:4">
      <c r="D687" s="5">
        <f t="shared" si="25"/>
        <v>1</v>
      </c>
    </row>
    <row r="688" spans="4:4">
      <c r="D688" s="5">
        <f t="shared" si="25"/>
        <v>1</v>
      </c>
    </row>
    <row r="689" spans="4:4">
      <c r="D689" s="5">
        <f t="shared" si="25"/>
        <v>1</v>
      </c>
    </row>
    <row r="690" spans="4:4">
      <c r="D690" s="5">
        <f t="shared" si="25"/>
        <v>1</v>
      </c>
    </row>
    <row r="691" spans="4:4">
      <c r="D691" s="5">
        <f t="shared" si="25"/>
        <v>1</v>
      </c>
    </row>
    <row r="692" spans="4:4">
      <c r="D692" s="5">
        <f t="shared" si="25"/>
        <v>1</v>
      </c>
    </row>
    <row r="693" spans="4:4">
      <c r="D693" s="5">
        <f t="shared" si="25"/>
        <v>1</v>
      </c>
    </row>
    <row r="694" spans="4:4">
      <c r="D694" s="5">
        <f t="shared" si="25"/>
        <v>1</v>
      </c>
    </row>
    <row r="695" spans="4:4">
      <c r="D695" s="5">
        <f t="shared" si="25"/>
        <v>1</v>
      </c>
    </row>
    <row r="696" spans="4:4">
      <c r="D696" s="5">
        <f t="shared" si="25"/>
        <v>1</v>
      </c>
    </row>
    <row r="697" spans="4:4">
      <c r="D697" s="5">
        <f t="shared" si="25"/>
        <v>1</v>
      </c>
    </row>
    <row r="698" spans="4:4">
      <c r="D698" s="5">
        <f t="shared" si="25"/>
        <v>1</v>
      </c>
    </row>
    <row r="699" spans="4:4">
      <c r="D699" s="5">
        <f t="shared" si="25"/>
        <v>1</v>
      </c>
    </row>
    <row r="700" spans="4:4">
      <c r="D700" s="5">
        <f t="shared" si="25"/>
        <v>1</v>
      </c>
    </row>
    <row r="701" spans="4:4">
      <c r="D701" s="5">
        <f t="shared" si="25"/>
        <v>1</v>
      </c>
    </row>
    <row r="702" spans="4:4">
      <c r="D702" s="5">
        <f t="shared" si="25"/>
        <v>1</v>
      </c>
    </row>
    <row r="703" spans="4:4">
      <c r="D703" s="5">
        <f t="shared" si="25"/>
        <v>1</v>
      </c>
    </row>
    <row r="704" spans="4:4">
      <c r="D704" s="5">
        <f t="shared" si="25"/>
        <v>1</v>
      </c>
    </row>
    <row r="705" spans="4:4">
      <c r="D705" s="5">
        <f t="shared" si="25"/>
        <v>1</v>
      </c>
    </row>
    <row r="706" spans="4:4">
      <c r="D706" s="5">
        <f t="shared" si="25"/>
        <v>1</v>
      </c>
    </row>
    <row r="707" spans="4:4">
      <c r="D707" s="5">
        <f t="shared" si="25"/>
        <v>1</v>
      </c>
    </row>
    <row r="708" spans="4:4">
      <c r="D708" s="5">
        <f t="shared" si="25"/>
        <v>1</v>
      </c>
    </row>
    <row r="709" spans="4:4">
      <c r="D709" s="5">
        <f t="shared" si="25"/>
        <v>1</v>
      </c>
    </row>
    <row r="710" spans="4:4">
      <c r="D710" s="5">
        <f t="shared" si="25"/>
        <v>1</v>
      </c>
    </row>
    <row r="711" spans="4:4">
      <c r="D711" s="5">
        <f t="shared" si="25"/>
        <v>1</v>
      </c>
    </row>
    <row r="712" spans="4:4">
      <c r="D712" s="5">
        <f t="shared" si="25"/>
        <v>1</v>
      </c>
    </row>
    <row r="713" spans="4:4">
      <c r="D713" s="5">
        <f t="shared" si="25"/>
        <v>1</v>
      </c>
    </row>
    <row r="714" spans="4:4">
      <c r="D714" s="5">
        <f t="shared" si="25"/>
        <v>1</v>
      </c>
    </row>
    <row r="715" spans="4:4">
      <c r="D715" s="5">
        <f t="shared" si="25"/>
        <v>1</v>
      </c>
    </row>
    <row r="716" spans="4:4">
      <c r="D716" s="5">
        <f t="shared" si="25"/>
        <v>1</v>
      </c>
    </row>
    <row r="717" spans="4:4">
      <c r="D717" s="5">
        <f t="shared" si="25"/>
        <v>1</v>
      </c>
    </row>
    <row r="718" spans="4:4">
      <c r="D718" s="5">
        <f t="shared" si="25"/>
        <v>1</v>
      </c>
    </row>
    <row r="719" spans="4:4">
      <c r="D719" s="5">
        <f t="shared" si="25"/>
        <v>1</v>
      </c>
    </row>
    <row r="720" spans="4:4">
      <c r="D720" s="5">
        <f t="shared" si="25"/>
        <v>1</v>
      </c>
    </row>
    <row r="721" spans="4:4">
      <c r="D721" s="5">
        <f t="shared" si="25"/>
        <v>1</v>
      </c>
    </row>
    <row r="722" spans="4:4">
      <c r="D722" s="5">
        <f t="shared" si="25"/>
        <v>1</v>
      </c>
    </row>
    <row r="723" spans="4:4">
      <c r="D723" s="5">
        <f t="shared" si="25"/>
        <v>1</v>
      </c>
    </row>
    <row r="724" spans="4:4">
      <c r="D724" s="5">
        <f t="shared" si="25"/>
        <v>1</v>
      </c>
    </row>
    <row r="725" spans="4:4">
      <c r="D725" s="5">
        <f t="shared" si="25"/>
        <v>1</v>
      </c>
    </row>
    <row r="726" spans="4:4">
      <c r="D726" s="5">
        <f t="shared" si="25"/>
        <v>1</v>
      </c>
    </row>
    <row r="727" spans="4:4">
      <c r="D727" s="5">
        <f t="shared" si="25"/>
        <v>1</v>
      </c>
    </row>
    <row r="728" spans="4:4">
      <c r="D728" s="5">
        <f t="shared" si="25"/>
        <v>1</v>
      </c>
    </row>
    <row r="729" spans="4:4">
      <c r="D729" s="5">
        <f t="shared" si="25"/>
        <v>1</v>
      </c>
    </row>
    <row r="730" spans="4:4">
      <c r="D730" s="5">
        <f t="shared" si="25"/>
        <v>1</v>
      </c>
    </row>
    <row r="731" spans="4:4">
      <c r="D731" s="5">
        <f t="shared" ref="D731:D794" si="26">10^B731</f>
        <v>1</v>
      </c>
    </row>
    <row r="732" spans="4:4">
      <c r="D732" s="5">
        <f t="shared" si="26"/>
        <v>1</v>
      </c>
    </row>
    <row r="733" spans="4:4">
      <c r="D733" s="5">
        <f t="shared" si="26"/>
        <v>1</v>
      </c>
    </row>
    <row r="734" spans="4:4">
      <c r="D734" s="5">
        <f t="shared" si="26"/>
        <v>1</v>
      </c>
    </row>
    <row r="735" spans="4:4">
      <c r="D735" s="5">
        <f t="shared" si="26"/>
        <v>1</v>
      </c>
    </row>
    <row r="736" spans="4:4">
      <c r="D736" s="5">
        <f t="shared" si="26"/>
        <v>1</v>
      </c>
    </row>
    <row r="737" spans="4:4">
      <c r="D737" s="5">
        <f t="shared" si="26"/>
        <v>1</v>
      </c>
    </row>
    <row r="738" spans="4:4">
      <c r="D738" s="5">
        <f t="shared" si="26"/>
        <v>1</v>
      </c>
    </row>
    <row r="739" spans="4:4">
      <c r="D739" s="5">
        <f t="shared" si="26"/>
        <v>1</v>
      </c>
    </row>
    <row r="740" spans="4:4">
      <c r="D740" s="5">
        <f t="shared" si="26"/>
        <v>1</v>
      </c>
    </row>
    <row r="741" spans="4:4">
      <c r="D741" s="5">
        <f t="shared" si="26"/>
        <v>1</v>
      </c>
    </row>
    <row r="742" spans="4:4">
      <c r="D742" s="5">
        <f t="shared" si="26"/>
        <v>1</v>
      </c>
    </row>
    <row r="743" spans="4:4">
      <c r="D743" s="5">
        <f t="shared" si="26"/>
        <v>1</v>
      </c>
    </row>
    <row r="744" spans="4:4">
      <c r="D744" s="5">
        <f t="shared" si="26"/>
        <v>1</v>
      </c>
    </row>
    <row r="745" spans="4:4">
      <c r="D745" s="5">
        <f t="shared" si="26"/>
        <v>1</v>
      </c>
    </row>
    <row r="746" spans="4:4">
      <c r="D746" s="5">
        <f t="shared" si="26"/>
        <v>1</v>
      </c>
    </row>
    <row r="747" spans="4:4">
      <c r="D747" s="5">
        <f t="shared" si="26"/>
        <v>1</v>
      </c>
    </row>
    <row r="748" spans="4:4">
      <c r="D748" s="5">
        <f t="shared" si="26"/>
        <v>1</v>
      </c>
    </row>
    <row r="749" spans="4:4">
      <c r="D749" s="5">
        <f t="shared" si="26"/>
        <v>1</v>
      </c>
    </row>
    <row r="750" spans="4:4">
      <c r="D750" s="5">
        <f t="shared" si="26"/>
        <v>1</v>
      </c>
    </row>
    <row r="751" spans="4:4">
      <c r="D751" s="5">
        <f t="shared" si="26"/>
        <v>1</v>
      </c>
    </row>
    <row r="752" spans="4:4">
      <c r="D752" s="5">
        <f t="shared" si="26"/>
        <v>1</v>
      </c>
    </row>
    <row r="753" spans="4:4">
      <c r="D753" s="5">
        <f t="shared" si="26"/>
        <v>1</v>
      </c>
    </row>
    <row r="754" spans="4:4">
      <c r="D754" s="5">
        <f t="shared" si="26"/>
        <v>1</v>
      </c>
    </row>
    <row r="755" spans="4:4">
      <c r="D755" s="5">
        <f t="shared" si="26"/>
        <v>1</v>
      </c>
    </row>
    <row r="756" spans="4:4">
      <c r="D756" s="5">
        <f t="shared" si="26"/>
        <v>1</v>
      </c>
    </row>
    <row r="757" spans="4:4">
      <c r="D757" s="5">
        <f t="shared" si="26"/>
        <v>1</v>
      </c>
    </row>
    <row r="758" spans="4:4">
      <c r="D758" s="5">
        <f t="shared" si="26"/>
        <v>1</v>
      </c>
    </row>
    <row r="759" spans="4:4">
      <c r="D759" s="5">
        <f t="shared" si="26"/>
        <v>1</v>
      </c>
    </row>
    <row r="760" spans="4:4">
      <c r="D760" s="5">
        <f t="shared" si="26"/>
        <v>1</v>
      </c>
    </row>
    <row r="761" spans="4:4">
      <c r="D761" s="5">
        <f t="shared" si="26"/>
        <v>1</v>
      </c>
    </row>
    <row r="762" spans="4:4">
      <c r="D762" s="5">
        <f t="shared" si="26"/>
        <v>1</v>
      </c>
    </row>
    <row r="763" spans="4:4">
      <c r="D763" s="5">
        <f t="shared" si="26"/>
        <v>1</v>
      </c>
    </row>
    <row r="764" spans="4:4">
      <c r="D764" s="5">
        <f t="shared" si="26"/>
        <v>1</v>
      </c>
    </row>
    <row r="765" spans="4:4">
      <c r="D765" s="5">
        <f t="shared" si="26"/>
        <v>1</v>
      </c>
    </row>
    <row r="766" spans="4:4">
      <c r="D766" s="5">
        <f t="shared" si="26"/>
        <v>1</v>
      </c>
    </row>
    <row r="767" spans="4:4">
      <c r="D767" s="5">
        <f t="shared" si="26"/>
        <v>1</v>
      </c>
    </row>
    <row r="768" spans="4:4">
      <c r="D768" s="5">
        <f t="shared" si="26"/>
        <v>1</v>
      </c>
    </row>
    <row r="769" spans="4:4">
      <c r="D769" s="5">
        <f t="shared" si="26"/>
        <v>1</v>
      </c>
    </row>
    <row r="770" spans="4:4">
      <c r="D770" s="5">
        <f t="shared" si="26"/>
        <v>1</v>
      </c>
    </row>
    <row r="771" spans="4:4">
      <c r="D771" s="5">
        <f t="shared" si="26"/>
        <v>1</v>
      </c>
    </row>
    <row r="772" spans="4:4">
      <c r="D772" s="5">
        <f t="shared" si="26"/>
        <v>1</v>
      </c>
    </row>
    <row r="773" spans="4:4">
      <c r="D773" s="5">
        <f t="shared" si="26"/>
        <v>1</v>
      </c>
    </row>
    <row r="774" spans="4:4">
      <c r="D774" s="5">
        <f t="shared" si="26"/>
        <v>1</v>
      </c>
    </row>
    <row r="775" spans="4:4">
      <c r="D775" s="5">
        <f t="shared" si="26"/>
        <v>1</v>
      </c>
    </row>
    <row r="776" spans="4:4">
      <c r="D776" s="5">
        <f t="shared" si="26"/>
        <v>1</v>
      </c>
    </row>
    <row r="777" spans="4:4">
      <c r="D777" s="5">
        <f t="shared" si="26"/>
        <v>1</v>
      </c>
    </row>
    <row r="778" spans="4:4">
      <c r="D778" s="5">
        <f t="shared" si="26"/>
        <v>1</v>
      </c>
    </row>
    <row r="779" spans="4:4">
      <c r="D779" s="5">
        <f t="shared" si="26"/>
        <v>1</v>
      </c>
    </row>
    <row r="780" spans="4:4">
      <c r="D780" s="5">
        <f t="shared" si="26"/>
        <v>1</v>
      </c>
    </row>
    <row r="781" spans="4:4">
      <c r="D781" s="5">
        <f t="shared" si="26"/>
        <v>1</v>
      </c>
    </row>
    <row r="782" spans="4:4">
      <c r="D782" s="5">
        <f t="shared" si="26"/>
        <v>1</v>
      </c>
    </row>
    <row r="783" spans="4:4">
      <c r="D783" s="5">
        <f t="shared" si="26"/>
        <v>1</v>
      </c>
    </row>
    <row r="784" spans="4:4">
      <c r="D784" s="5">
        <f t="shared" si="26"/>
        <v>1</v>
      </c>
    </row>
    <row r="785" spans="4:4">
      <c r="D785" s="5">
        <f t="shared" si="26"/>
        <v>1</v>
      </c>
    </row>
    <row r="786" spans="4:4">
      <c r="D786" s="5">
        <f t="shared" si="26"/>
        <v>1</v>
      </c>
    </row>
    <row r="787" spans="4:4">
      <c r="D787" s="5">
        <f t="shared" si="26"/>
        <v>1</v>
      </c>
    </row>
    <row r="788" spans="4:4">
      <c r="D788" s="5">
        <f t="shared" si="26"/>
        <v>1</v>
      </c>
    </row>
    <row r="789" spans="4:4">
      <c r="D789" s="5">
        <f t="shared" si="26"/>
        <v>1</v>
      </c>
    </row>
    <row r="790" spans="4:4">
      <c r="D790" s="5">
        <f t="shared" si="26"/>
        <v>1</v>
      </c>
    </row>
    <row r="791" spans="4:4">
      <c r="D791" s="5">
        <f t="shared" si="26"/>
        <v>1</v>
      </c>
    </row>
    <row r="792" spans="4:4">
      <c r="D792" s="5">
        <f t="shared" si="26"/>
        <v>1</v>
      </c>
    </row>
    <row r="793" spans="4:4">
      <c r="D793" s="5">
        <f t="shared" si="26"/>
        <v>1</v>
      </c>
    </row>
    <row r="794" spans="4:4">
      <c r="D794" s="5">
        <f t="shared" si="26"/>
        <v>1</v>
      </c>
    </row>
    <row r="795" spans="4:4">
      <c r="D795" s="5">
        <f t="shared" ref="D795:D858" si="27">10^B795</f>
        <v>1</v>
      </c>
    </row>
    <row r="796" spans="4:4">
      <c r="D796" s="5">
        <f t="shared" si="27"/>
        <v>1</v>
      </c>
    </row>
    <row r="797" spans="4:4">
      <c r="D797" s="5">
        <f t="shared" si="27"/>
        <v>1</v>
      </c>
    </row>
    <row r="798" spans="4:4">
      <c r="D798" s="5">
        <f t="shared" si="27"/>
        <v>1</v>
      </c>
    </row>
    <row r="799" spans="4:4">
      <c r="D799" s="5">
        <f t="shared" si="27"/>
        <v>1</v>
      </c>
    </row>
    <row r="800" spans="4:4">
      <c r="D800" s="5">
        <f t="shared" si="27"/>
        <v>1</v>
      </c>
    </row>
    <row r="801" spans="4:4">
      <c r="D801" s="5">
        <f t="shared" si="27"/>
        <v>1</v>
      </c>
    </row>
    <row r="802" spans="4:4">
      <c r="D802" s="5">
        <f t="shared" si="27"/>
        <v>1</v>
      </c>
    </row>
    <row r="803" spans="4:4">
      <c r="D803" s="5">
        <f t="shared" si="27"/>
        <v>1</v>
      </c>
    </row>
    <row r="804" spans="4:4">
      <c r="D804" s="5">
        <f t="shared" si="27"/>
        <v>1</v>
      </c>
    </row>
    <row r="805" spans="4:4">
      <c r="D805" s="5">
        <f t="shared" si="27"/>
        <v>1</v>
      </c>
    </row>
    <row r="806" spans="4:4">
      <c r="D806" s="5">
        <f t="shared" si="27"/>
        <v>1</v>
      </c>
    </row>
    <row r="807" spans="4:4">
      <c r="D807" s="5">
        <f t="shared" si="27"/>
        <v>1</v>
      </c>
    </row>
    <row r="808" spans="4:4">
      <c r="D808" s="5">
        <f t="shared" si="27"/>
        <v>1</v>
      </c>
    </row>
    <row r="809" spans="4:4">
      <c r="D809" s="5">
        <f t="shared" si="27"/>
        <v>1</v>
      </c>
    </row>
    <row r="810" spans="4:4">
      <c r="D810" s="5">
        <f t="shared" si="27"/>
        <v>1</v>
      </c>
    </row>
    <row r="811" spans="4:4">
      <c r="D811" s="5">
        <f t="shared" si="27"/>
        <v>1</v>
      </c>
    </row>
    <row r="812" spans="4:4">
      <c r="D812" s="5">
        <f t="shared" si="27"/>
        <v>1</v>
      </c>
    </row>
    <row r="813" spans="4:4">
      <c r="D813" s="5">
        <f t="shared" si="27"/>
        <v>1</v>
      </c>
    </row>
    <row r="814" spans="4:4">
      <c r="D814" s="5">
        <f t="shared" si="27"/>
        <v>1</v>
      </c>
    </row>
    <row r="815" spans="4:4">
      <c r="D815" s="5">
        <f t="shared" si="27"/>
        <v>1</v>
      </c>
    </row>
    <row r="816" spans="4:4">
      <c r="D816" s="5">
        <f t="shared" si="27"/>
        <v>1</v>
      </c>
    </row>
    <row r="817" spans="4:4">
      <c r="D817" s="5">
        <f t="shared" si="27"/>
        <v>1</v>
      </c>
    </row>
    <row r="818" spans="4:4">
      <c r="D818" s="5">
        <f t="shared" si="27"/>
        <v>1</v>
      </c>
    </row>
    <row r="819" spans="4:4">
      <c r="D819" s="5">
        <f t="shared" si="27"/>
        <v>1</v>
      </c>
    </row>
    <row r="820" spans="4:4">
      <c r="D820" s="5">
        <f t="shared" si="27"/>
        <v>1</v>
      </c>
    </row>
    <row r="821" spans="4:4">
      <c r="D821" s="5">
        <f t="shared" si="27"/>
        <v>1</v>
      </c>
    </row>
    <row r="822" spans="4:4">
      <c r="D822" s="5">
        <f t="shared" si="27"/>
        <v>1</v>
      </c>
    </row>
    <row r="823" spans="4:4">
      <c r="D823" s="5">
        <f t="shared" si="27"/>
        <v>1</v>
      </c>
    </row>
    <row r="824" spans="4:4">
      <c r="D824" s="5">
        <f t="shared" si="27"/>
        <v>1</v>
      </c>
    </row>
    <row r="825" spans="4:4">
      <c r="D825" s="5">
        <f t="shared" si="27"/>
        <v>1</v>
      </c>
    </row>
    <row r="826" spans="4:4">
      <c r="D826" s="5">
        <f t="shared" si="27"/>
        <v>1</v>
      </c>
    </row>
    <row r="827" spans="4:4">
      <c r="D827" s="5">
        <f t="shared" si="27"/>
        <v>1</v>
      </c>
    </row>
    <row r="828" spans="4:4">
      <c r="D828" s="5">
        <f t="shared" si="27"/>
        <v>1</v>
      </c>
    </row>
    <row r="829" spans="4:4">
      <c r="D829" s="5">
        <f t="shared" si="27"/>
        <v>1</v>
      </c>
    </row>
    <row r="830" spans="4:4">
      <c r="D830" s="5">
        <f t="shared" si="27"/>
        <v>1</v>
      </c>
    </row>
    <row r="831" spans="4:4">
      <c r="D831" s="5">
        <f t="shared" si="27"/>
        <v>1</v>
      </c>
    </row>
    <row r="832" spans="4:4">
      <c r="D832" s="5">
        <f t="shared" si="27"/>
        <v>1</v>
      </c>
    </row>
    <row r="833" spans="4:4">
      <c r="D833" s="5">
        <f t="shared" si="27"/>
        <v>1</v>
      </c>
    </row>
    <row r="834" spans="4:4">
      <c r="D834" s="5">
        <f t="shared" si="27"/>
        <v>1</v>
      </c>
    </row>
    <row r="835" spans="4:4">
      <c r="D835" s="5">
        <f t="shared" si="27"/>
        <v>1</v>
      </c>
    </row>
    <row r="836" spans="4:4">
      <c r="D836" s="5">
        <f t="shared" si="27"/>
        <v>1</v>
      </c>
    </row>
    <row r="837" spans="4:4">
      <c r="D837" s="5">
        <f t="shared" si="27"/>
        <v>1</v>
      </c>
    </row>
    <row r="838" spans="4:4">
      <c r="D838" s="5">
        <f t="shared" si="27"/>
        <v>1</v>
      </c>
    </row>
    <row r="839" spans="4:4">
      <c r="D839" s="5">
        <f t="shared" si="27"/>
        <v>1</v>
      </c>
    </row>
    <row r="840" spans="4:4">
      <c r="D840" s="5">
        <f t="shared" si="27"/>
        <v>1</v>
      </c>
    </row>
    <row r="841" spans="4:4">
      <c r="D841" s="5">
        <f t="shared" si="27"/>
        <v>1</v>
      </c>
    </row>
    <row r="842" spans="4:4">
      <c r="D842" s="5">
        <f t="shared" si="27"/>
        <v>1</v>
      </c>
    </row>
    <row r="843" spans="4:4">
      <c r="D843" s="5">
        <f t="shared" si="27"/>
        <v>1</v>
      </c>
    </row>
    <row r="844" spans="4:4">
      <c r="D844" s="5">
        <f t="shared" si="27"/>
        <v>1</v>
      </c>
    </row>
    <row r="845" spans="4:4">
      <c r="D845" s="5">
        <f t="shared" si="27"/>
        <v>1</v>
      </c>
    </row>
    <row r="846" spans="4:4">
      <c r="D846" s="5">
        <f t="shared" si="27"/>
        <v>1</v>
      </c>
    </row>
    <row r="847" spans="4:4">
      <c r="D847" s="5">
        <f t="shared" si="27"/>
        <v>1</v>
      </c>
    </row>
    <row r="848" spans="4:4">
      <c r="D848" s="5">
        <f t="shared" si="27"/>
        <v>1</v>
      </c>
    </row>
    <row r="849" spans="4:4">
      <c r="D849" s="5">
        <f t="shared" si="27"/>
        <v>1</v>
      </c>
    </row>
    <row r="850" spans="4:4">
      <c r="D850" s="5">
        <f t="shared" si="27"/>
        <v>1</v>
      </c>
    </row>
    <row r="851" spans="4:4">
      <c r="D851" s="5">
        <f t="shared" si="27"/>
        <v>1</v>
      </c>
    </row>
    <row r="852" spans="4:4">
      <c r="D852" s="5">
        <f t="shared" si="27"/>
        <v>1</v>
      </c>
    </row>
    <row r="853" spans="4:4">
      <c r="D853" s="5">
        <f t="shared" si="27"/>
        <v>1</v>
      </c>
    </row>
    <row r="854" spans="4:4">
      <c r="D854" s="5">
        <f t="shared" si="27"/>
        <v>1</v>
      </c>
    </row>
    <row r="855" spans="4:4">
      <c r="D855" s="5">
        <f t="shared" si="27"/>
        <v>1</v>
      </c>
    </row>
    <row r="856" spans="4:4">
      <c r="D856" s="5">
        <f t="shared" si="27"/>
        <v>1</v>
      </c>
    </row>
    <row r="857" spans="4:4">
      <c r="D857" s="5">
        <f t="shared" si="27"/>
        <v>1</v>
      </c>
    </row>
    <row r="858" spans="4:4">
      <c r="D858" s="5">
        <f t="shared" si="27"/>
        <v>1</v>
      </c>
    </row>
    <row r="859" spans="4:4">
      <c r="D859" s="5">
        <f t="shared" ref="D859:D922" si="28">10^B859</f>
        <v>1</v>
      </c>
    </row>
    <row r="860" spans="4:4">
      <c r="D860" s="5">
        <f t="shared" si="28"/>
        <v>1</v>
      </c>
    </row>
    <row r="861" spans="4:4">
      <c r="D861" s="5">
        <f t="shared" si="28"/>
        <v>1</v>
      </c>
    </row>
    <row r="862" spans="4:4">
      <c r="D862" s="5">
        <f t="shared" si="28"/>
        <v>1</v>
      </c>
    </row>
    <row r="863" spans="4:4">
      <c r="D863" s="5">
        <f t="shared" si="28"/>
        <v>1</v>
      </c>
    </row>
    <row r="864" spans="4:4">
      <c r="D864" s="5">
        <f t="shared" si="28"/>
        <v>1</v>
      </c>
    </row>
    <row r="865" spans="4:4">
      <c r="D865" s="5">
        <f t="shared" si="28"/>
        <v>1</v>
      </c>
    </row>
    <row r="866" spans="4:4">
      <c r="D866" s="5">
        <f t="shared" si="28"/>
        <v>1</v>
      </c>
    </row>
    <row r="867" spans="4:4">
      <c r="D867" s="5">
        <f t="shared" si="28"/>
        <v>1</v>
      </c>
    </row>
    <row r="868" spans="4:4">
      <c r="D868" s="5">
        <f t="shared" si="28"/>
        <v>1</v>
      </c>
    </row>
    <row r="869" spans="4:4">
      <c r="D869" s="5">
        <f t="shared" si="28"/>
        <v>1</v>
      </c>
    </row>
    <row r="870" spans="4:4">
      <c r="D870" s="5">
        <f t="shared" si="28"/>
        <v>1</v>
      </c>
    </row>
    <row r="871" spans="4:4">
      <c r="D871" s="5">
        <f t="shared" si="28"/>
        <v>1</v>
      </c>
    </row>
    <row r="872" spans="4:4">
      <c r="D872" s="5">
        <f t="shared" si="28"/>
        <v>1</v>
      </c>
    </row>
    <row r="873" spans="4:4">
      <c r="D873" s="5">
        <f t="shared" si="28"/>
        <v>1</v>
      </c>
    </row>
    <row r="874" spans="4:4">
      <c r="D874" s="5">
        <f t="shared" si="28"/>
        <v>1</v>
      </c>
    </row>
    <row r="875" spans="4:4">
      <c r="D875" s="5">
        <f t="shared" si="28"/>
        <v>1</v>
      </c>
    </row>
    <row r="876" spans="4:4">
      <c r="D876" s="5">
        <f t="shared" si="28"/>
        <v>1</v>
      </c>
    </row>
    <row r="877" spans="4:4">
      <c r="D877" s="5">
        <f t="shared" si="28"/>
        <v>1</v>
      </c>
    </row>
    <row r="878" spans="4:4">
      <c r="D878" s="5">
        <f t="shared" si="28"/>
        <v>1</v>
      </c>
    </row>
    <row r="879" spans="4:4">
      <c r="D879" s="5">
        <f t="shared" si="28"/>
        <v>1</v>
      </c>
    </row>
    <row r="880" spans="4:4">
      <c r="D880" s="5">
        <f t="shared" si="28"/>
        <v>1</v>
      </c>
    </row>
    <row r="881" spans="4:4">
      <c r="D881" s="5">
        <f t="shared" si="28"/>
        <v>1</v>
      </c>
    </row>
    <row r="882" spans="4:4">
      <c r="D882" s="5">
        <f t="shared" si="28"/>
        <v>1</v>
      </c>
    </row>
    <row r="883" spans="4:4">
      <c r="D883" s="5">
        <f t="shared" si="28"/>
        <v>1</v>
      </c>
    </row>
    <row r="884" spans="4:4">
      <c r="D884" s="5">
        <f t="shared" si="28"/>
        <v>1</v>
      </c>
    </row>
    <row r="885" spans="4:4">
      <c r="D885" s="5">
        <f t="shared" si="28"/>
        <v>1</v>
      </c>
    </row>
    <row r="886" spans="4:4">
      <c r="D886" s="5">
        <f t="shared" si="28"/>
        <v>1</v>
      </c>
    </row>
    <row r="887" spans="4:4">
      <c r="D887" s="5">
        <f t="shared" si="28"/>
        <v>1</v>
      </c>
    </row>
    <row r="888" spans="4:4">
      <c r="D888" s="5">
        <f t="shared" si="28"/>
        <v>1</v>
      </c>
    </row>
    <row r="889" spans="4:4">
      <c r="D889" s="5">
        <f t="shared" si="28"/>
        <v>1</v>
      </c>
    </row>
    <row r="890" spans="4:4">
      <c r="D890" s="5">
        <f t="shared" si="28"/>
        <v>1</v>
      </c>
    </row>
    <row r="891" spans="4:4">
      <c r="D891" s="5">
        <f t="shared" si="28"/>
        <v>1</v>
      </c>
    </row>
    <row r="892" spans="4:4">
      <c r="D892" s="5">
        <f t="shared" si="28"/>
        <v>1</v>
      </c>
    </row>
    <row r="893" spans="4:4">
      <c r="D893" s="5">
        <f t="shared" si="28"/>
        <v>1</v>
      </c>
    </row>
    <row r="894" spans="4:4">
      <c r="D894" s="5">
        <f t="shared" si="28"/>
        <v>1</v>
      </c>
    </row>
    <row r="895" spans="4:4">
      <c r="D895" s="5">
        <f t="shared" si="28"/>
        <v>1</v>
      </c>
    </row>
    <row r="896" spans="4:4">
      <c r="D896" s="5">
        <f t="shared" si="28"/>
        <v>1</v>
      </c>
    </row>
    <row r="897" spans="4:4">
      <c r="D897" s="5">
        <f t="shared" si="28"/>
        <v>1</v>
      </c>
    </row>
    <row r="898" spans="4:4">
      <c r="D898" s="5">
        <f t="shared" si="28"/>
        <v>1</v>
      </c>
    </row>
    <row r="899" spans="4:4">
      <c r="D899" s="5">
        <f t="shared" si="28"/>
        <v>1</v>
      </c>
    </row>
    <row r="900" spans="4:4">
      <c r="D900" s="5">
        <f t="shared" si="28"/>
        <v>1</v>
      </c>
    </row>
    <row r="901" spans="4:4">
      <c r="D901" s="5">
        <f t="shared" si="28"/>
        <v>1</v>
      </c>
    </row>
    <row r="902" spans="4:4">
      <c r="D902" s="5">
        <f t="shared" si="28"/>
        <v>1</v>
      </c>
    </row>
    <row r="903" spans="4:4">
      <c r="D903" s="5">
        <f t="shared" si="28"/>
        <v>1</v>
      </c>
    </row>
    <row r="904" spans="4:4">
      <c r="D904" s="5">
        <f t="shared" si="28"/>
        <v>1</v>
      </c>
    </row>
    <row r="905" spans="4:4">
      <c r="D905" s="5">
        <f t="shared" si="28"/>
        <v>1</v>
      </c>
    </row>
    <row r="906" spans="4:4">
      <c r="D906" s="5">
        <f t="shared" si="28"/>
        <v>1</v>
      </c>
    </row>
    <row r="907" spans="4:4">
      <c r="D907" s="5">
        <f t="shared" si="28"/>
        <v>1</v>
      </c>
    </row>
    <row r="908" spans="4:4">
      <c r="D908" s="5">
        <f t="shared" si="28"/>
        <v>1</v>
      </c>
    </row>
    <row r="909" spans="4:4">
      <c r="D909" s="5">
        <f t="shared" si="28"/>
        <v>1</v>
      </c>
    </row>
    <row r="910" spans="4:4">
      <c r="D910" s="5">
        <f t="shared" si="28"/>
        <v>1</v>
      </c>
    </row>
    <row r="911" spans="4:4">
      <c r="D911" s="5">
        <f t="shared" si="28"/>
        <v>1</v>
      </c>
    </row>
    <row r="912" spans="4:4">
      <c r="D912" s="5">
        <f t="shared" si="28"/>
        <v>1</v>
      </c>
    </row>
    <row r="913" spans="4:4">
      <c r="D913" s="5">
        <f t="shared" si="28"/>
        <v>1</v>
      </c>
    </row>
    <row r="914" spans="4:4">
      <c r="D914" s="5">
        <f t="shared" si="28"/>
        <v>1</v>
      </c>
    </row>
    <row r="915" spans="4:4">
      <c r="D915" s="5">
        <f t="shared" si="28"/>
        <v>1</v>
      </c>
    </row>
    <row r="916" spans="4:4">
      <c r="D916" s="5">
        <f t="shared" si="28"/>
        <v>1</v>
      </c>
    </row>
    <row r="917" spans="4:4">
      <c r="D917" s="5">
        <f t="shared" si="28"/>
        <v>1</v>
      </c>
    </row>
    <row r="918" spans="4:4">
      <c r="D918" s="5">
        <f t="shared" si="28"/>
        <v>1</v>
      </c>
    </row>
    <row r="919" spans="4:4">
      <c r="D919" s="5">
        <f t="shared" si="28"/>
        <v>1</v>
      </c>
    </row>
    <row r="920" spans="4:4">
      <c r="D920" s="5">
        <f t="shared" si="28"/>
        <v>1</v>
      </c>
    </row>
    <row r="921" spans="4:4">
      <c r="D921" s="5">
        <f t="shared" si="28"/>
        <v>1</v>
      </c>
    </row>
    <row r="922" spans="4:4">
      <c r="D922" s="5">
        <f t="shared" si="28"/>
        <v>1</v>
      </c>
    </row>
    <row r="923" spans="4:4">
      <c r="D923" s="5">
        <f t="shared" ref="D923:D986" si="29">10^B923</f>
        <v>1</v>
      </c>
    </row>
    <row r="924" spans="4:4">
      <c r="D924" s="5">
        <f t="shared" si="29"/>
        <v>1</v>
      </c>
    </row>
    <row r="925" spans="4:4">
      <c r="D925" s="5">
        <f t="shared" si="29"/>
        <v>1</v>
      </c>
    </row>
    <row r="926" spans="4:4">
      <c r="D926" s="5">
        <f t="shared" si="29"/>
        <v>1</v>
      </c>
    </row>
    <row r="927" spans="4:4">
      <c r="D927" s="5">
        <f t="shared" si="29"/>
        <v>1</v>
      </c>
    </row>
    <row r="928" spans="4:4">
      <c r="D928" s="5">
        <f t="shared" si="29"/>
        <v>1</v>
      </c>
    </row>
    <row r="929" spans="4:4">
      <c r="D929" s="5">
        <f t="shared" si="29"/>
        <v>1</v>
      </c>
    </row>
    <row r="930" spans="4:4">
      <c r="D930" s="5">
        <f t="shared" si="29"/>
        <v>1</v>
      </c>
    </row>
    <row r="931" spans="4:4">
      <c r="D931" s="5">
        <f t="shared" si="29"/>
        <v>1</v>
      </c>
    </row>
    <row r="932" spans="4:4">
      <c r="D932" s="5">
        <f t="shared" si="29"/>
        <v>1</v>
      </c>
    </row>
    <row r="933" spans="4:4">
      <c r="D933" s="5">
        <f t="shared" si="29"/>
        <v>1</v>
      </c>
    </row>
    <row r="934" spans="4:4">
      <c r="D934" s="5">
        <f t="shared" si="29"/>
        <v>1</v>
      </c>
    </row>
    <row r="935" spans="4:4">
      <c r="D935" s="5">
        <f t="shared" si="29"/>
        <v>1</v>
      </c>
    </row>
    <row r="936" spans="4:4">
      <c r="D936" s="5">
        <f t="shared" si="29"/>
        <v>1</v>
      </c>
    </row>
    <row r="937" spans="4:4">
      <c r="D937" s="5">
        <f t="shared" si="29"/>
        <v>1</v>
      </c>
    </row>
    <row r="938" spans="4:4">
      <c r="D938" s="5">
        <f t="shared" si="29"/>
        <v>1</v>
      </c>
    </row>
    <row r="939" spans="4:4">
      <c r="D939" s="5">
        <f t="shared" si="29"/>
        <v>1</v>
      </c>
    </row>
    <row r="940" spans="4:4">
      <c r="D940" s="5">
        <f t="shared" si="29"/>
        <v>1</v>
      </c>
    </row>
    <row r="941" spans="4:4">
      <c r="D941" s="5">
        <f t="shared" si="29"/>
        <v>1</v>
      </c>
    </row>
    <row r="942" spans="4:4">
      <c r="D942" s="5">
        <f t="shared" si="29"/>
        <v>1</v>
      </c>
    </row>
    <row r="943" spans="4:4">
      <c r="D943" s="5">
        <f t="shared" si="29"/>
        <v>1</v>
      </c>
    </row>
    <row r="944" spans="4:4">
      <c r="D944" s="5">
        <f t="shared" si="29"/>
        <v>1</v>
      </c>
    </row>
    <row r="945" spans="4:4">
      <c r="D945" s="5">
        <f t="shared" si="29"/>
        <v>1</v>
      </c>
    </row>
    <row r="946" spans="4:4">
      <c r="D946" s="5">
        <f t="shared" si="29"/>
        <v>1</v>
      </c>
    </row>
    <row r="947" spans="4:4">
      <c r="D947" s="5">
        <f t="shared" si="29"/>
        <v>1</v>
      </c>
    </row>
    <row r="948" spans="4:4">
      <c r="D948" s="5">
        <f t="shared" si="29"/>
        <v>1</v>
      </c>
    </row>
    <row r="949" spans="4:4">
      <c r="D949" s="5">
        <f t="shared" si="29"/>
        <v>1</v>
      </c>
    </row>
    <row r="950" spans="4:4">
      <c r="D950" s="5">
        <f t="shared" si="29"/>
        <v>1</v>
      </c>
    </row>
    <row r="951" spans="4:4">
      <c r="D951" s="5">
        <f t="shared" si="29"/>
        <v>1</v>
      </c>
    </row>
    <row r="952" spans="4:4">
      <c r="D952" s="5">
        <f t="shared" si="29"/>
        <v>1</v>
      </c>
    </row>
    <row r="953" spans="4:4">
      <c r="D953" s="5">
        <f t="shared" si="29"/>
        <v>1</v>
      </c>
    </row>
    <row r="954" spans="4:4">
      <c r="D954" s="5">
        <f t="shared" si="29"/>
        <v>1</v>
      </c>
    </row>
    <row r="955" spans="4:4">
      <c r="D955" s="5">
        <f t="shared" si="29"/>
        <v>1</v>
      </c>
    </row>
    <row r="956" spans="4:4">
      <c r="D956" s="5">
        <f t="shared" si="29"/>
        <v>1</v>
      </c>
    </row>
    <row r="957" spans="4:4">
      <c r="D957" s="5">
        <f t="shared" si="29"/>
        <v>1</v>
      </c>
    </row>
    <row r="958" spans="4:4">
      <c r="D958" s="5">
        <f t="shared" si="29"/>
        <v>1</v>
      </c>
    </row>
    <row r="959" spans="4:4">
      <c r="D959" s="5">
        <f t="shared" si="29"/>
        <v>1</v>
      </c>
    </row>
    <row r="960" spans="4:4">
      <c r="D960" s="5">
        <f t="shared" si="29"/>
        <v>1</v>
      </c>
    </row>
    <row r="961" spans="4:4">
      <c r="D961" s="5">
        <f t="shared" si="29"/>
        <v>1</v>
      </c>
    </row>
    <row r="962" spans="4:4">
      <c r="D962" s="5">
        <f t="shared" si="29"/>
        <v>1</v>
      </c>
    </row>
    <row r="963" spans="4:4">
      <c r="D963" s="5">
        <f t="shared" si="29"/>
        <v>1</v>
      </c>
    </row>
    <row r="964" spans="4:4">
      <c r="D964" s="5">
        <f t="shared" si="29"/>
        <v>1</v>
      </c>
    </row>
    <row r="965" spans="4:4">
      <c r="D965" s="5">
        <f t="shared" si="29"/>
        <v>1</v>
      </c>
    </row>
    <row r="966" spans="4:4">
      <c r="D966" s="5">
        <f t="shared" si="29"/>
        <v>1</v>
      </c>
    </row>
    <row r="967" spans="4:4">
      <c r="D967" s="5">
        <f t="shared" si="29"/>
        <v>1</v>
      </c>
    </row>
    <row r="968" spans="4:4">
      <c r="D968" s="5">
        <f t="shared" si="29"/>
        <v>1</v>
      </c>
    </row>
    <row r="969" spans="4:4">
      <c r="D969" s="5">
        <f t="shared" si="29"/>
        <v>1</v>
      </c>
    </row>
    <row r="970" spans="4:4">
      <c r="D970" s="5">
        <f t="shared" si="29"/>
        <v>1</v>
      </c>
    </row>
    <row r="971" spans="4:4">
      <c r="D971" s="5">
        <f t="shared" si="29"/>
        <v>1</v>
      </c>
    </row>
    <row r="972" spans="4:4">
      <c r="D972" s="5">
        <f t="shared" si="29"/>
        <v>1</v>
      </c>
    </row>
    <row r="973" spans="4:4">
      <c r="D973" s="5">
        <f t="shared" si="29"/>
        <v>1</v>
      </c>
    </row>
    <row r="974" spans="4:4">
      <c r="D974" s="5">
        <f t="shared" si="29"/>
        <v>1</v>
      </c>
    </row>
    <row r="975" spans="4:4">
      <c r="D975" s="5">
        <f t="shared" si="29"/>
        <v>1</v>
      </c>
    </row>
    <row r="976" spans="4:4">
      <c r="D976" s="5">
        <f t="shared" si="29"/>
        <v>1</v>
      </c>
    </row>
    <row r="977" spans="4:4">
      <c r="D977" s="5">
        <f t="shared" si="29"/>
        <v>1</v>
      </c>
    </row>
    <row r="978" spans="4:4">
      <c r="D978" s="5">
        <f t="shared" si="29"/>
        <v>1</v>
      </c>
    </row>
    <row r="979" spans="4:4">
      <c r="D979" s="5">
        <f t="shared" si="29"/>
        <v>1</v>
      </c>
    </row>
    <row r="980" spans="4:4">
      <c r="D980" s="5">
        <f t="shared" si="29"/>
        <v>1</v>
      </c>
    </row>
    <row r="981" spans="4:4">
      <c r="D981" s="5">
        <f t="shared" si="29"/>
        <v>1</v>
      </c>
    </row>
    <row r="982" spans="4:4">
      <c r="D982" s="5">
        <f t="shared" si="29"/>
        <v>1</v>
      </c>
    </row>
    <row r="983" spans="4:4">
      <c r="D983" s="5">
        <f t="shared" si="29"/>
        <v>1</v>
      </c>
    </row>
    <row r="984" spans="4:4">
      <c r="D984" s="5">
        <f t="shared" si="29"/>
        <v>1</v>
      </c>
    </row>
    <row r="985" spans="4:4">
      <c r="D985" s="5">
        <f t="shared" si="29"/>
        <v>1</v>
      </c>
    </row>
    <row r="986" spans="4:4">
      <c r="D986" s="5">
        <f t="shared" si="29"/>
        <v>1</v>
      </c>
    </row>
    <row r="987" spans="4:4">
      <c r="D987" s="5">
        <f t="shared" ref="D987:D1050" si="30">10^B987</f>
        <v>1</v>
      </c>
    </row>
    <row r="988" spans="4:4">
      <c r="D988" s="5">
        <f t="shared" si="30"/>
        <v>1</v>
      </c>
    </row>
    <row r="989" spans="4:4">
      <c r="D989" s="5">
        <f t="shared" si="30"/>
        <v>1</v>
      </c>
    </row>
    <row r="990" spans="4:4">
      <c r="D990" s="5">
        <f t="shared" si="30"/>
        <v>1</v>
      </c>
    </row>
    <row r="991" spans="4:4">
      <c r="D991" s="5">
        <f t="shared" si="30"/>
        <v>1</v>
      </c>
    </row>
    <row r="992" spans="4:4">
      <c r="D992" s="5">
        <f t="shared" si="30"/>
        <v>1</v>
      </c>
    </row>
    <row r="993" spans="4:4">
      <c r="D993" s="5">
        <f t="shared" si="30"/>
        <v>1</v>
      </c>
    </row>
    <row r="994" spans="4:4">
      <c r="D994" s="5">
        <f t="shared" si="30"/>
        <v>1</v>
      </c>
    </row>
    <row r="995" spans="4:4">
      <c r="D995" s="5">
        <f t="shared" si="30"/>
        <v>1</v>
      </c>
    </row>
    <row r="996" spans="4:4">
      <c r="D996" s="5">
        <f t="shared" si="30"/>
        <v>1</v>
      </c>
    </row>
    <row r="997" spans="4:4">
      <c r="D997" s="5">
        <f t="shared" si="30"/>
        <v>1</v>
      </c>
    </row>
    <row r="998" spans="4:4">
      <c r="D998" s="5">
        <f t="shared" si="30"/>
        <v>1</v>
      </c>
    </row>
    <row r="999" spans="4:4">
      <c r="D999" s="5">
        <f t="shared" si="30"/>
        <v>1</v>
      </c>
    </row>
    <row r="1000" spans="4:4">
      <c r="D1000" s="5">
        <f t="shared" si="30"/>
        <v>1</v>
      </c>
    </row>
    <row r="1001" spans="4:4">
      <c r="D1001" s="5">
        <f t="shared" si="30"/>
        <v>1</v>
      </c>
    </row>
    <row r="1002" spans="4:4">
      <c r="D1002" s="5">
        <f t="shared" si="30"/>
        <v>1</v>
      </c>
    </row>
    <row r="1003" spans="4:4">
      <c r="D1003" s="5">
        <f t="shared" si="30"/>
        <v>1</v>
      </c>
    </row>
    <row r="1004" spans="4:4">
      <c r="D1004" s="5">
        <f t="shared" si="30"/>
        <v>1</v>
      </c>
    </row>
    <row r="1005" spans="4:4">
      <c r="D1005" s="5">
        <f t="shared" si="30"/>
        <v>1</v>
      </c>
    </row>
    <row r="1006" spans="4:4">
      <c r="D1006" s="5">
        <f t="shared" si="30"/>
        <v>1</v>
      </c>
    </row>
    <row r="1007" spans="4:4">
      <c r="D1007" s="5">
        <f t="shared" si="30"/>
        <v>1</v>
      </c>
    </row>
    <row r="1008" spans="4:4">
      <c r="D1008" s="5">
        <f t="shared" si="30"/>
        <v>1</v>
      </c>
    </row>
    <row r="1009" spans="4:4">
      <c r="D1009" s="5">
        <f t="shared" si="30"/>
        <v>1</v>
      </c>
    </row>
    <row r="1010" spans="4:4">
      <c r="D1010" s="5">
        <f t="shared" si="30"/>
        <v>1</v>
      </c>
    </row>
    <row r="1011" spans="4:4">
      <c r="D1011" s="5">
        <f t="shared" si="30"/>
        <v>1</v>
      </c>
    </row>
    <row r="1012" spans="4:4">
      <c r="D1012" s="5">
        <f t="shared" si="30"/>
        <v>1</v>
      </c>
    </row>
    <row r="1013" spans="4:4">
      <c r="D1013" s="5">
        <f t="shared" si="30"/>
        <v>1</v>
      </c>
    </row>
    <row r="1014" spans="4:4">
      <c r="D1014" s="5">
        <f t="shared" si="30"/>
        <v>1</v>
      </c>
    </row>
    <row r="1015" spans="4:4">
      <c r="D1015" s="5">
        <f t="shared" si="30"/>
        <v>1</v>
      </c>
    </row>
    <row r="1016" spans="4:4">
      <c r="D1016" s="5">
        <f t="shared" si="30"/>
        <v>1</v>
      </c>
    </row>
    <row r="1017" spans="4:4">
      <c r="D1017" s="5">
        <f t="shared" si="30"/>
        <v>1</v>
      </c>
    </row>
    <row r="1018" spans="4:4">
      <c r="D1018" s="5">
        <f t="shared" si="30"/>
        <v>1</v>
      </c>
    </row>
    <row r="1019" spans="4:4">
      <c r="D1019" s="5">
        <f t="shared" si="30"/>
        <v>1</v>
      </c>
    </row>
    <row r="1020" spans="4:4">
      <c r="D1020" s="5">
        <f t="shared" si="30"/>
        <v>1</v>
      </c>
    </row>
    <row r="1021" spans="4:4">
      <c r="D1021" s="5">
        <f t="shared" si="30"/>
        <v>1</v>
      </c>
    </row>
    <row r="1022" spans="4:4">
      <c r="D1022" s="5">
        <f t="shared" si="30"/>
        <v>1</v>
      </c>
    </row>
    <row r="1023" spans="4:4">
      <c r="D1023" s="5">
        <f t="shared" si="30"/>
        <v>1</v>
      </c>
    </row>
    <row r="1024" spans="4:4">
      <c r="D1024" s="5">
        <f t="shared" si="30"/>
        <v>1</v>
      </c>
    </row>
    <row r="1025" spans="4:4">
      <c r="D1025" s="5">
        <f t="shared" si="30"/>
        <v>1</v>
      </c>
    </row>
    <row r="1026" spans="4:4">
      <c r="D1026" s="5">
        <f t="shared" si="30"/>
        <v>1</v>
      </c>
    </row>
    <row r="1027" spans="4:4">
      <c r="D1027" s="5">
        <f t="shared" si="30"/>
        <v>1</v>
      </c>
    </row>
    <row r="1028" spans="4:4">
      <c r="D1028" s="5">
        <f t="shared" si="30"/>
        <v>1</v>
      </c>
    </row>
    <row r="1029" spans="4:4">
      <c r="D1029" s="5">
        <f t="shared" si="30"/>
        <v>1</v>
      </c>
    </row>
    <row r="1030" spans="4:4">
      <c r="D1030" s="5">
        <f t="shared" si="30"/>
        <v>1</v>
      </c>
    </row>
    <row r="1031" spans="4:4">
      <c r="D1031" s="5">
        <f t="shared" si="30"/>
        <v>1</v>
      </c>
    </row>
    <row r="1032" spans="4:4">
      <c r="D1032" s="5">
        <f t="shared" si="30"/>
        <v>1</v>
      </c>
    </row>
    <row r="1033" spans="4:4">
      <c r="D1033" s="5">
        <f t="shared" si="30"/>
        <v>1</v>
      </c>
    </row>
    <row r="1034" spans="4:4">
      <c r="D1034" s="5">
        <f t="shared" si="30"/>
        <v>1</v>
      </c>
    </row>
    <row r="1035" spans="4:4">
      <c r="D1035" s="5">
        <f t="shared" si="30"/>
        <v>1</v>
      </c>
    </row>
    <row r="1036" spans="4:4">
      <c r="D1036" s="5">
        <f t="shared" si="30"/>
        <v>1</v>
      </c>
    </row>
    <row r="1037" spans="4:4">
      <c r="D1037" s="5">
        <f t="shared" si="30"/>
        <v>1</v>
      </c>
    </row>
    <row r="1038" spans="4:4">
      <c r="D1038" s="5">
        <f t="shared" si="30"/>
        <v>1</v>
      </c>
    </row>
    <row r="1039" spans="4:4">
      <c r="D1039" s="5">
        <f t="shared" si="30"/>
        <v>1</v>
      </c>
    </row>
    <row r="1040" spans="4:4">
      <c r="D1040" s="5">
        <f t="shared" si="30"/>
        <v>1</v>
      </c>
    </row>
    <row r="1041" spans="4:4">
      <c r="D1041" s="5">
        <f t="shared" si="30"/>
        <v>1</v>
      </c>
    </row>
    <row r="1042" spans="4:4">
      <c r="D1042" s="5">
        <f t="shared" si="30"/>
        <v>1</v>
      </c>
    </row>
    <row r="1043" spans="4:4">
      <c r="D1043" s="5">
        <f t="shared" si="30"/>
        <v>1</v>
      </c>
    </row>
    <row r="1044" spans="4:4">
      <c r="D1044" s="5">
        <f t="shared" si="30"/>
        <v>1</v>
      </c>
    </row>
    <row r="1045" spans="4:4">
      <c r="D1045" s="5">
        <f t="shared" si="30"/>
        <v>1</v>
      </c>
    </row>
    <row r="1046" spans="4:4">
      <c r="D1046" s="5">
        <f t="shared" si="30"/>
        <v>1</v>
      </c>
    </row>
    <row r="1047" spans="4:4">
      <c r="D1047" s="5">
        <f t="shared" si="30"/>
        <v>1</v>
      </c>
    </row>
    <row r="1048" spans="4:4">
      <c r="D1048" s="5">
        <f t="shared" si="30"/>
        <v>1</v>
      </c>
    </row>
    <row r="1049" spans="4:4">
      <c r="D1049" s="5">
        <f t="shared" si="30"/>
        <v>1</v>
      </c>
    </row>
    <row r="1050" spans="4:4">
      <c r="D1050" s="5">
        <f t="shared" si="30"/>
        <v>1</v>
      </c>
    </row>
    <row r="1051" spans="4:4">
      <c r="D1051" s="5">
        <f t="shared" ref="D1051:D1114" si="31">10^B1051</f>
        <v>1</v>
      </c>
    </row>
    <row r="1052" spans="4:4">
      <c r="D1052" s="5">
        <f t="shared" si="31"/>
        <v>1</v>
      </c>
    </row>
    <row r="1053" spans="4:4">
      <c r="D1053" s="5">
        <f t="shared" si="31"/>
        <v>1</v>
      </c>
    </row>
    <row r="1054" spans="4:4">
      <c r="D1054" s="5">
        <f t="shared" si="31"/>
        <v>1</v>
      </c>
    </row>
    <row r="1055" spans="4:4">
      <c r="D1055" s="5">
        <f t="shared" si="31"/>
        <v>1</v>
      </c>
    </row>
    <row r="1056" spans="4:4">
      <c r="D1056" s="5">
        <f t="shared" si="31"/>
        <v>1</v>
      </c>
    </row>
    <row r="1057" spans="4:4">
      <c r="D1057" s="5">
        <f t="shared" si="31"/>
        <v>1</v>
      </c>
    </row>
    <row r="1058" spans="4:4">
      <c r="D1058" s="5">
        <f t="shared" si="31"/>
        <v>1</v>
      </c>
    </row>
    <row r="1059" spans="4:4">
      <c r="D1059" s="5">
        <f t="shared" si="31"/>
        <v>1</v>
      </c>
    </row>
    <row r="1060" spans="4:4">
      <c r="D1060" s="5">
        <f t="shared" si="31"/>
        <v>1</v>
      </c>
    </row>
    <row r="1061" spans="4:4">
      <c r="D1061" s="5">
        <f t="shared" si="31"/>
        <v>1</v>
      </c>
    </row>
    <row r="1062" spans="4:4">
      <c r="D1062" s="5">
        <f t="shared" si="31"/>
        <v>1</v>
      </c>
    </row>
    <row r="1063" spans="4:4">
      <c r="D1063" s="5">
        <f t="shared" si="31"/>
        <v>1</v>
      </c>
    </row>
    <row r="1064" spans="4:4">
      <c r="D1064" s="5">
        <f t="shared" si="31"/>
        <v>1</v>
      </c>
    </row>
    <row r="1065" spans="4:4">
      <c r="D1065" s="5">
        <f t="shared" si="31"/>
        <v>1</v>
      </c>
    </row>
    <row r="1066" spans="4:4">
      <c r="D1066" s="5">
        <f t="shared" si="31"/>
        <v>1</v>
      </c>
    </row>
    <row r="1067" spans="4:4">
      <c r="D1067" s="5">
        <f t="shared" si="31"/>
        <v>1</v>
      </c>
    </row>
    <row r="1068" spans="4:4">
      <c r="D1068" s="5">
        <f t="shared" si="31"/>
        <v>1</v>
      </c>
    </row>
    <row r="1069" spans="4:4">
      <c r="D1069" s="5">
        <f t="shared" si="31"/>
        <v>1</v>
      </c>
    </row>
    <row r="1070" spans="4:4">
      <c r="D1070" s="5">
        <f t="shared" si="31"/>
        <v>1</v>
      </c>
    </row>
    <row r="1071" spans="4:4">
      <c r="D1071" s="5">
        <f t="shared" si="31"/>
        <v>1</v>
      </c>
    </row>
    <row r="1072" spans="4:4">
      <c r="D1072" s="5">
        <f t="shared" si="31"/>
        <v>1</v>
      </c>
    </row>
    <row r="1073" spans="4:4">
      <c r="D1073" s="5">
        <f t="shared" si="31"/>
        <v>1</v>
      </c>
    </row>
    <row r="1074" spans="4:4">
      <c r="D1074" s="5">
        <f t="shared" si="31"/>
        <v>1</v>
      </c>
    </row>
    <row r="1075" spans="4:4">
      <c r="D1075" s="5">
        <f t="shared" si="31"/>
        <v>1</v>
      </c>
    </row>
    <row r="1076" spans="4:4">
      <c r="D1076" s="5">
        <f t="shared" si="31"/>
        <v>1</v>
      </c>
    </row>
    <row r="1077" spans="4:4">
      <c r="D1077" s="5">
        <f t="shared" si="31"/>
        <v>1</v>
      </c>
    </row>
    <row r="1078" spans="4:4">
      <c r="D1078" s="5">
        <f t="shared" si="31"/>
        <v>1</v>
      </c>
    </row>
    <row r="1079" spans="4:4">
      <c r="D1079" s="5">
        <f t="shared" si="31"/>
        <v>1</v>
      </c>
    </row>
    <row r="1080" spans="4:4">
      <c r="D1080" s="5">
        <f t="shared" si="31"/>
        <v>1</v>
      </c>
    </row>
    <row r="1081" spans="4:4">
      <c r="D1081" s="5">
        <f t="shared" si="31"/>
        <v>1</v>
      </c>
    </row>
    <row r="1082" spans="4:4">
      <c r="D1082" s="5">
        <f t="shared" si="31"/>
        <v>1</v>
      </c>
    </row>
    <row r="1083" spans="4:4">
      <c r="D1083" s="5">
        <f t="shared" si="31"/>
        <v>1</v>
      </c>
    </row>
    <row r="1084" spans="4:4">
      <c r="D1084" s="5">
        <f t="shared" si="31"/>
        <v>1</v>
      </c>
    </row>
    <row r="1085" spans="4:4">
      <c r="D1085" s="5">
        <f t="shared" si="31"/>
        <v>1</v>
      </c>
    </row>
    <row r="1086" spans="4:4">
      <c r="D1086" s="5">
        <f t="shared" si="31"/>
        <v>1</v>
      </c>
    </row>
    <row r="1087" spans="4:4">
      <c r="D1087" s="5">
        <f t="shared" si="31"/>
        <v>1</v>
      </c>
    </row>
    <row r="1088" spans="4:4">
      <c r="D1088" s="5">
        <f t="shared" si="31"/>
        <v>1</v>
      </c>
    </row>
    <row r="1089" spans="4:4">
      <c r="D1089" s="5">
        <f t="shared" si="31"/>
        <v>1</v>
      </c>
    </row>
    <row r="1090" spans="4:4">
      <c r="D1090" s="5">
        <f t="shared" si="31"/>
        <v>1</v>
      </c>
    </row>
    <row r="1091" spans="4:4">
      <c r="D1091" s="5">
        <f t="shared" si="31"/>
        <v>1</v>
      </c>
    </row>
    <row r="1092" spans="4:4">
      <c r="D1092" s="5">
        <f t="shared" si="31"/>
        <v>1</v>
      </c>
    </row>
    <row r="1093" spans="4:4">
      <c r="D1093" s="5">
        <f t="shared" si="31"/>
        <v>1</v>
      </c>
    </row>
    <row r="1094" spans="4:4">
      <c r="D1094" s="5">
        <f t="shared" si="31"/>
        <v>1</v>
      </c>
    </row>
    <row r="1095" spans="4:4">
      <c r="D1095" s="5">
        <f t="shared" si="31"/>
        <v>1</v>
      </c>
    </row>
    <row r="1096" spans="4:4">
      <c r="D1096" s="5">
        <f t="shared" si="31"/>
        <v>1</v>
      </c>
    </row>
    <row r="1097" spans="4:4">
      <c r="D1097" s="5">
        <f t="shared" si="31"/>
        <v>1</v>
      </c>
    </row>
    <row r="1098" spans="4:4">
      <c r="D1098" s="5">
        <f t="shared" si="31"/>
        <v>1</v>
      </c>
    </row>
    <row r="1099" spans="4:4">
      <c r="D1099" s="5">
        <f t="shared" si="31"/>
        <v>1</v>
      </c>
    </row>
    <row r="1100" spans="4:4">
      <c r="D1100" s="5">
        <f t="shared" si="31"/>
        <v>1</v>
      </c>
    </row>
    <row r="1101" spans="4:4">
      <c r="D1101" s="5">
        <f t="shared" si="31"/>
        <v>1</v>
      </c>
    </row>
    <row r="1102" spans="4:4">
      <c r="D1102" s="5">
        <f t="shared" si="31"/>
        <v>1</v>
      </c>
    </row>
    <row r="1103" spans="4:4">
      <c r="D1103" s="5">
        <f t="shared" si="31"/>
        <v>1</v>
      </c>
    </row>
    <row r="1104" spans="4:4">
      <c r="D1104" s="5">
        <f t="shared" si="31"/>
        <v>1</v>
      </c>
    </row>
    <row r="1105" spans="4:4">
      <c r="D1105" s="5">
        <f t="shared" si="31"/>
        <v>1</v>
      </c>
    </row>
    <row r="1106" spans="4:4">
      <c r="D1106" s="5">
        <f t="shared" si="31"/>
        <v>1</v>
      </c>
    </row>
    <row r="1107" spans="4:4">
      <c r="D1107" s="5">
        <f t="shared" si="31"/>
        <v>1</v>
      </c>
    </row>
    <row r="1108" spans="4:4">
      <c r="D1108" s="5">
        <f t="shared" si="31"/>
        <v>1</v>
      </c>
    </row>
    <row r="1109" spans="4:4">
      <c r="D1109" s="5">
        <f t="shared" si="31"/>
        <v>1</v>
      </c>
    </row>
    <row r="1110" spans="4:4">
      <c r="D1110" s="5">
        <f t="shared" si="31"/>
        <v>1</v>
      </c>
    </row>
    <row r="1111" spans="4:4">
      <c r="D1111" s="5">
        <f t="shared" si="31"/>
        <v>1</v>
      </c>
    </row>
    <row r="1112" spans="4:4">
      <c r="D1112" s="5">
        <f t="shared" si="31"/>
        <v>1</v>
      </c>
    </row>
    <row r="1113" spans="4:4">
      <c r="D1113" s="5">
        <f t="shared" si="31"/>
        <v>1</v>
      </c>
    </row>
    <row r="1114" spans="4:4">
      <c r="D1114" s="5">
        <f t="shared" si="31"/>
        <v>1</v>
      </c>
    </row>
    <row r="1115" spans="4:4">
      <c r="D1115" s="5">
        <f t="shared" ref="D1115:D1136" si="32">10^B1115</f>
        <v>1</v>
      </c>
    </row>
    <row r="1116" spans="4:4">
      <c r="D1116" s="5">
        <f t="shared" si="32"/>
        <v>1</v>
      </c>
    </row>
    <row r="1117" spans="4:4">
      <c r="D1117" s="5">
        <f t="shared" si="32"/>
        <v>1</v>
      </c>
    </row>
    <row r="1118" spans="4:4">
      <c r="D1118" s="5">
        <f t="shared" si="32"/>
        <v>1</v>
      </c>
    </row>
    <row r="1119" spans="4:4">
      <c r="D1119" s="5">
        <f t="shared" si="32"/>
        <v>1</v>
      </c>
    </row>
    <row r="1120" spans="4:4">
      <c r="D1120" s="5">
        <f t="shared" si="32"/>
        <v>1</v>
      </c>
    </row>
    <row r="1121" spans="4:4">
      <c r="D1121" s="5">
        <f t="shared" si="32"/>
        <v>1</v>
      </c>
    </row>
    <row r="1122" spans="4:4">
      <c r="D1122" s="5">
        <f t="shared" si="32"/>
        <v>1</v>
      </c>
    </row>
    <row r="1123" spans="4:4">
      <c r="D1123" s="5">
        <f t="shared" si="32"/>
        <v>1</v>
      </c>
    </row>
    <row r="1124" spans="4:4">
      <c r="D1124" s="5">
        <f t="shared" si="32"/>
        <v>1</v>
      </c>
    </row>
    <row r="1125" spans="4:4">
      <c r="D1125" s="5">
        <f t="shared" si="32"/>
        <v>1</v>
      </c>
    </row>
    <row r="1126" spans="4:4">
      <c r="D1126" s="5">
        <f t="shared" si="32"/>
        <v>1</v>
      </c>
    </row>
    <row r="1127" spans="4:4">
      <c r="D1127" s="5">
        <f t="shared" si="32"/>
        <v>1</v>
      </c>
    </row>
    <row r="1128" spans="4:4">
      <c r="D1128" s="5">
        <f t="shared" si="32"/>
        <v>1</v>
      </c>
    </row>
    <row r="1129" spans="4:4">
      <c r="D1129" s="5">
        <f t="shared" si="32"/>
        <v>1</v>
      </c>
    </row>
    <row r="1130" spans="4:4">
      <c r="D1130" s="5">
        <f t="shared" si="32"/>
        <v>1</v>
      </c>
    </row>
    <row r="1131" spans="4:4">
      <c r="D1131" s="5">
        <f t="shared" si="32"/>
        <v>1</v>
      </c>
    </row>
    <row r="1132" spans="4:4">
      <c r="D1132" s="5">
        <f t="shared" si="32"/>
        <v>1</v>
      </c>
    </row>
    <row r="1133" spans="4:4">
      <c r="D1133" s="5">
        <f t="shared" si="32"/>
        <v>1</v>
      </c>
    </row>
    <row r="1134" spans="4:4">
      <c r="D1134" s="5">
        <f t="shared" si="32"/>
        <v>1</v>
      </c>
    </row>
    <row r="1135" spans="4:4">
      <c r="D1135" s="5">
        <f t="shared" si="32"/>
        <v>1</v>
      </c>
    </row>
    <row r="1136" spans="4:4">
      <c r="D1136" s="5">
        <f t="shared" si="32"/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/>
  <dimension ref="A1:AI1136"/>
  <sheetViews>
    <sheetView tabSelected="1" topLeftCell="J59" zoomScale="63" zoomScaleNormal="63" workbookViewId="0">
      <selection activeCell="W67" sqref="W67"/>
    </sheetView>
  </sheetViews>
  <sheetFormatPr defaultRowHeight="14.4"/>
  <cols>
    <col min="1" max="1" width="10.5546875" bestFit="1" customWidth="1"/>
    <col min="2" max="2" width="18.109375" customWidth="1"/>
    <col min="3" max="3" width="24.5546875" customWidth="1"/>
    <col min="4" max="4" width="9" customWidth="1"/>
    <col min="5" max="7" width="11" bestFit="1" customWidth="1"/>
    <col min="8" max="8" width="10.33203125" bestFit="1" customWidth="1"/>
    <col min="9" max="9" width="12.44140625" customWidth="1"/>
    <col min="10" max="11" width="10.33203125" bestFit="1" customWidth="1"/>
    <col min="14" max="14" width="11" bestFit="1" customWidth="1"/>
  </cols>
  <sheetData>
    <row r="1" spans="3:35">
      <c r="C1" t="s">
        <v>35</v>
      </c>
      <c r="E1">
        <f>E2/E24</f>
        <v>4541.0381114819411</v>
      </c>
      <c r="F1">
        <f t="shared" ref="F1:K1" si="0">F2/F24</f>
        <v>4541.0381114819411</v>
      </c>
      <c r="G1">
        <f t="shared" si="0"/>
        <v>4541.0381114819411</v>
      </c>
      <c r="H1">
        <f t="shared" si="0"/>
        <v>4541.0381114819411</v>
      </c>
      <c r="I1">
        <f t="shared" si="0"/>
        <v>4541.0381114819411</v>
      </c>
      <c r="J1">
        <f t="shared" si="0"/>
        <v>4541.0381114819411</v>
      </c>
      <c r="K1">
        <f t="shared" si="0"/>
        <v>4541.0381114819411</v>
      </c>
    </row>
    <row r="2" spans="3:35">
      <c r="C2" t="s">
        <v>34</v>
      </c>
      <c r="E2">
        <f>SQRT(E3/PI()*43560)</f>
        <v>1489.4605005660767</v>
      </c>
      <c r="F2">
        <f t="shared" ref="F2:K2" si="1">SQRT(F3/PI()*43560)</f>
        <v>1489.4605005660767</v>
      </c>
      <c r="G2">
        <f t="shared" si="1"/>
        <v>1489.4605005660767</v>
      </c>
      <c r="H2">
        <f t="shared" si="1"/>
        <v>1489.4605005660767</v>
      </c>
      <c r="I2">
        <f t="shared" si="1"/>
        <v>1489.4605005660767</v>
      </c>
      <c r="J2">
        <f t="shared" si="1"/>
        <v>1489.4605005660767</v>
      </c>
      <c r="K2">
        <f t="shared" si="1"/>
        <v>1489.4605005660767</v>
      </c>
    </row>
    <row r="3" spans="3:35">
      <c r="C3" s="1" t="s">
        <v>32</v>
      </c>
      <c r="D3" t="s">
        <v>33</v>
      </c>
      <c r="E3" s="3">
        <f>E16*E17/43560</f>
        <v>160</v>
      </c>
      <c r="F3" s="3">
        <f t="shared" ref="F3:K3" si="2">F16*F17/43560</f>
        <v>160</v>
      </c>
      <c r="G3" s="3">
        <f t="shared" si="2"/>
        <v>160</v>
      </c>
      <c r="H3" s="3">
        <f t="shared" si="2"/>
        <v>160</v>
      </c>
      <c r="I3" s="3">
        <f t="shared" si="2"/>
        <v>160</v>
      </c>
      <c r="J3" s="3">
        <f t="shared" si="2"/>
        <v>160</v>
      </c>
      <c r="K3" s="3">
        <f t="shared" si="2"/>
        <v>160</v>
      </c>
    </row>
    <row r="4" spans="3:35"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</row>
    <row r="5" spans="3:35">
      <c r="C5" s="1" t="s">
        <v>0</v>
      </c>
      <c r="D5" s="1" t="s">
        <v>31</v>
      </c>
      <c r="E5" s="4">
        <v>1E-3</v>
      </c>
      <c r="F5" s="4">
        <v>0.01</v>
      </c>
      <c r="G5" s="4">
        <v>0.5</v>
      </c>
      <c r="H5" s="4">
        <v>1</v>
      </c>
      <c r="I5" s="4">
        <v>2</v>
      </c>
      <c r="J5" s="4">
        <v>5</v>
      </c>
      <c r="K5" s="4">
        <v>10</v>
      </c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</row>
    <row r="6" spans="3:35">
      <c r="C6" t="s">
        <v>1</v>
      </c>
      <c r="D6" t="s">
        <v>2</v>
      </c>
      <c r="E6" s="4">
        <v>700</v>
      </c>
      <c r="F6" s="4">
        <f>E6</f>
        <v>700</v>
      </c>
      <c r="G6" s="4">
        <f t="shared" ref="G6:K7" si="3">F6</f>
        <v>700</v>
      </c>
      <c r="H6" s="4">
        <f t="shared" si="3"/>
        <v>700</v>
      </c>
      <c r="I6" s="4">
        <f t="shared" si="3"/>
        <v>700</v>
      </c>
      <c r="J6" s="4">
        <f t="shared" si="3"/>
        <v>700</v>
      </c>
      <c r="K6" s="4">
        <f t="shared" si="3"/>
        <v>700</v>
      </c>
      <c r="L6" s="2"/>
      <c r="M6" s="2"/>
      <c r="N6" s="2"/>
      <c r="O6" s="2"/>
      <c r="P6" s="2"/>
      <c r="Q6" s="2"/>
      <c r="W6" t="s">
        <v>46</v>
      </c>
      <c r="X6" s="10"/>
      <c r="Y6" s="10"/>
      <c r="Z6" s="13">
        <v>3</v>
      </c>
      <c r="AA6" s="10"/>
      <c r="AB6" s="10"/>
      <c r="AC6" s="10"/>
      <c r="AD6" s="10"/>
      <c r="AE6" s="10"/>
      <c r="AF6" s="10"/>
      <c r="AG6" s="10"/>
      <c r="AH6" s="10"/>
      <c r="AI6" s="10"/>
    </row>
    <row r="7" spans="3:35">
      <c r="C7" t="s">
        <v>3</v>
      </c>
      <c r="D7" t="s">
        <v>2</v>
      </c>
      <c r="E7" s="4">
        <v>50</v>
      </c>
      <c r="F7" s="4">
        <f>E7</f>
        <v>50</v>
      </c>
      <c r="G7" s="4">
        <f t="shared" si="3"/>
        <v>50</v>
      </c>
      <c r="H7" s="4">
        <f t="shared" si="3"/>
        <v>50</v>
      </c>
      <c r="I7" s="4">
        <f t="shared" si="3"/>
        <v>50</v>
      </c>
      <c r="J7" s="4">
        <f t="shared" si="3"/>
        <v>50</v>
      </c>
      <c r="K7" s="4">
        <f t="shared" si="3"/>
        <v>50</v>
      </c>
      <c r="L7" s="2"/>
      <c r="M7" s="2"/>
      <c r="N7" s="2"/>
      <c r="O7" s="2"/>
      <c r="P7" s="2"/>
      <c r="Q7" s="2"/>
      <c r="W7" s="10" t="s">
        <v>38</v>
      </c>
      <c r="X7" s="10"/>
      <c r="Y7" s="11" t="s">
        <v>39</v>
      </c>
      <c r="Z7" s="11"/>
      <c r="AA7" s="10"/>
      <c r="AB7" s="10"/>
      <c r="AC7" s="10"/>
      <c r="AD7" s="10"/>
      <c r="AE7" s="10"/>
      <c r="AF7" s="10"/>
      <c r="AG7" s="10"/>
      <c r="AH7" s="10"/>
      <c r="AI7" s="10"/>
    </row>
    <row r="8" spans="3:35">
      <c r="C8" t="s">
        <v>4</v>
      </c>
      <c r="D8" t="s">
        <v>5</v>
      </c>
      <c r="E8" s="4">
        <v>15</v>
      </c>
      <c r="F8" s="4">
        <v>15</v>
      </c>
      <c r="G8" s="4">
        <v>15</v>
      </c>
      <c r="H8" s="4">
        <v>1</v>
      </c>
      <c r="I8" s="4">
        <v>1</v>
      </c>
      <c r="J8" s="4">
        <v>1</v>
      </c>
      <c r="K8" s="4">
        <v>1</v>
      </c>
      <c r="L8" s="2"/>
      <c r="M8" s="2"/>
      <c r="N8" s="2"/>
      <c r="O8" s="2"/>
      <c r="P8" s="2"/>
      <c r="Q8" s="2"/>
      <c r="W8" s="11" t="s">
        <v>43</v>
      </c>
      <c r="X8" s="11" t="s">
        <v>44</v>
      </c>
      <c r="Y8" s="11" t="s">
        <v>41</v>
      </c>
      <c r="Z8" s="11" t="s">
        <v>42</v>
      </c>
      <c r="AA8" s="10" t="s">
        <v>40</v>
      </c>
      <c r="AB8" s="10"/>
      <c r="AC8" s="10"/>
      <c r="AD8" s="10"/>
      <c r="AE8" s="10"/>
      <c r="AF8" s="10"/>
      <c r="AG8" s="10"/>
      <c r="AH8" s="10"/>
      <c r="AI8" s="10"/>
    </row>
    <row r="9" spans="3:35">
      <c r="C9" t="s">
        <v>6</v>
      </c>
      <c r="D9" t="s">
        <v>7</v>
      </c>
      <c r="E9" s="4">
        <v>0.16</v>
      </c>
      <c r="F9" s="4">
        <f>E9</f>
        <v>0.16</v>
      </c>
      <c r="G9" s="4">
        <f t="shared" ref="G9:K21" si="4">F9</f>
        <v>0.16</v>
      </c>
      <c r="H9" s="4">
        <f t="shared" si="4"/>
        <v>0.16</v>
      </c>
      <c r="I9" s="4">
        <f t="shared" si="4"/>
        <v>0.16</v>
      </c>
      <c r="J9" s="4">
        <f t="shared" si="4"/>
        <v>0.16</v>
      </c>
      <c r="K9" s="4">
        <f t="shared" si="4"/>
        <v>0.16</v>
      </c>
      <c r="L9" s="2"/>
      <c r="M9" s="2"/>
      <c r="N9" s="2"/>
      <c r="O9" s="2"/>
      <c r="P9" s="2"/>
      <c r="Q9" s="2"/>
      <c r="W9" s="11">
        <v>0</v>
      </c>
      <c r="X9" s="11">
        <v>0</v>
      </c>
      <c r="Y9" s="11">
        <f>INDEX(Xw,1,$Z$6)</f>
        <v>1320</v>
      </c>
      <c r="Z9" s="11">
        <f>INDEX(Yw,1,$Z$6)</f>
        <v>1320</v>
      </c>
      <c r="AA9" s="10">
        <f>Y9-INDEX(xf,1,$Z$6)</f>
        <v>1070</v>
      </c>
      <c r="AB9" s="10">
        <f>Z9</f>
        <v>1320</v>
      </c>
      <c r="AC9" s="10"/>
      <c r="AD9" s="10"/>
      <c r="AE9" s="10"/>
      <c r="AF9" s="10"/>
      <c r="AG9" s="10"/>
      <c r="AH9" s="10"/>
      <c r="AI9" s="10"/>
    </row>
    <row r="10" spans="3:35">
      <c r="C10" t="s">
        <v>8</v>
      </c>
      <c r="D10" t="s">
        <v>9</v>
      </c>
      <c r="E10" s="4">
        <v>3.8</v>
      </c>
      <c r="F10" s="4">
        <f t="shared" ref="F10:F21" si="5">E10</f>
        <v>3.8</v>
      </c>
      <c r="G10" s="4">
        <f t="shared" si="4"/>
        <v>3.8</v>
      </c>
      <c r="H10" s="4">
        <f t="shared" si="4"/>
        <v>3.8</v>
      </c>
      <c r="I10" s="4">
        <f t="shared" si="4"/>
        <v>3.8</v>
      </c>
      <c r="J10" s="4">
        <f t="shared" si="4"/>
        <v>3.8</v>
      </c>
      <c r="K10" s="4">
        <f t="shared" si="4"/>
        <v>3.8</v>
      </c>
      <c r="L10" s="2"/>
      <c r="M10" s="2"/>
      <c r="N10" s="2"/>
      <c r="O10" s="2"/>
      <c r="P10" s="2"/>
      <c r="Q10" s="2"/>
      <c r="W10" s="11">
        <f>INDEX(Xe,1,$Z$6)</f>
        <v>2640</v>
      </c>
      <c r="X10" s="11">
        <v>0</v>
      </c>
      <c r="Y10" s="10"/>
      <c r="Z10" s="10"/>
      <c r="AA10" s="10">
        <f>Y9+INDEX(xf,1,$Z$6)</f>
        <v>1570</v>
      </c>
      <c r="AB10" s="10">
        <f>Z9</f>
        <v>1320</v>
      </c>
      <c r="AC10" s="10"/>
      <c r="AD10" s="10"/>
      <c r="AE10" s="10"/>
      <c r="AF10" s="10"/>
      <c r="AG10" s="10"/>
      <c r="AH10" s="10"/>
      <c r="AI10" s="10"/>
    </row>
    <row r="11" spans="3:35">
      <c r="C11" t="s">
        <v>10</v>
      </c>
      <c r="D11" t="s">
        <v>11</v>
      </c>
      <c r="E11" s="4">
        <v>2.6999999999999999E-5</v>
      </c>
      <c r="F11" s="4">
        <f t="shared" si="5"/>
        <v>2.6999999999999999E-5</v>
      </c>
      <c r="G11" s="4">
        <f t="shared" si="4"/>
        <v>2.6999999999999999E-5</v>
      </c>
      <c r="H11" s="4">
        <f t="shared" si="4"/>
        <v>2.6999999999999999E-5</v>
      </c>
      <c r="I11" s="4">
        <f t="shared" si="4"/>
        <v>2.6999999999999999E-5</v>
      </c>
      <c r="J11" s="4">
        <f t="shared" si="4"/>
        <v>2.6999999999999999E-5</v>
      </c>
      <c r="K11" s="4">
        <f t="shared" si="4"/>
        <v>2.6999999999999999E-5</v>
      </c>
      <c r="L11" s="2"/>
      <c r="M11" s="2"/>
      <c r="N11" s="2"/>
      <c r="O11" s="2"/>
      <c r="P11" s="2"/>
      <c r="Q11" s="2"/>
      <c r="W11" s="11">
        <f>W10</f>
        <v>2640</v>
      </c>
      <c r="X11" s="11">
        <f>INDEX(Ye,1,$Z$6)</f>
        <v>2640</v>
      </c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</row>
    <row r="12" spans="3:35">
      <c r="C12" t="s">
        <v>12</v>
      </c>
      <c r="D12" t="s">
        <v>13</v>
      </c>
      <c r="E12" s="4">
        <v>1.06</v>
      </c>
      <c r="F12" s="4">
        <f t="shared" si="5"/>
        <v>1.06</v>
      </c>
      <c r="G12" s="4">
        <f t="shared" si="4"/>
        <v>1.06</v>
      </c>
      <c r="H12" s="4">
        <v>1.06</v>
      </c>
      <c r="I12" s="4">
        <v>1.06</v>
      </c>
      <c r="J12" s="4">
        <f t="shared" si="4"/>
        <v>1.06</v>
      </c>
      <c r="K12" s="4">
        <f t="shared" si="4"/>
        <v>1.06</v>
      </c>
      <c r="L12" s="2"/>
      <c r="M12" s="2"/>
      <c r="N12" s="2"/>
      <c r="O12" s="2"/>
      <c r="P12" s="2"/>
      <c r="Q12" s="2"/>
      <c r="W12" s="11">
        <v>0</v>
      </c>
      <c r="X12" s="11">
        <f>X11</f>
        <v>2640</v>
      </c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</row>
    <row r="13" spans="3:35">
      <c r="C13" t="s">
        <v>14</v>
      </c>
      <c r="D13" t="s">
        <v>15</v>
      </c>
      <c r="E13" s="4">
        <v>12</v>
      </c>
      <c r="F13" s="4">
        <f t="shared" si="5"/>
        <v>12</v>
      </c>
      <c r="G13" s="4">
        <f t="shared" si="4"/>
        <v>12</v>
      </c>
      <c r="H13" s="4">
        <f t="shared" si="4"/>
        <v>12</v>
      </c>
      <c r="I13" s="4">
        <f t="shared" si="4"/>
        <v>12</v>
      </c>
      <c r="J13" s="4">
        <f t="shared" si="4"/>
        <v>12</v>
      </c>
      <c r="K13" s="4">
        <f t="shared" si="4"/>
        <v>12</v>
      </c>
      <c r="L13" s="2"/>
      <c r="M13" s="2"/>
      <c r="N13" s="2"/>
      <c r="O13" s="2"/>
      <c r="P13" s="2"/>
      <c r="Q13" s="2"/>
      <c r="W13" s="11">
        <v>0</v>
      </c>
      <c r="X13" s="11">
        <v>0</v>
      </c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</row>
    <row r="14" spans="3:35">
      <c r="C14" t="s">
        <v>29</v>
      </c>
      <c r="D14" t="s">
        <v>15</v>
      </c>
      <c r="E14" s="4">
        <v>0.32800000000000001</v>
      </c>
      <c r="F14" s="4">
        <f t="shared" si="5"/>
        <v>0.32800000000000001</v>
      </c>
      <c r="G14" s="4">
        <f t="shared" si="4"/>
        <v>0.32800000000000001</v>
      </c>
      <c r="H14" s="4">
        <f t="shared" si="4"/>
        <v>0.32800000000000001</v>
      </c>
      <c r="I14" s="4">
        <f t="shared" si="4"/>
        <v>0.32800000000000001</v>
      </c>
      <c r="J14" s="4">
        <f t="shared" si="4"/>
        <v>0.32800000000000001</v>
      </c>
      <c r="K14" s="4">
        <f t="shared" si="4"/>
        <v>0.32800000000000001</v>
      </c>
      <c r="L14" s="2"/>
      <c r="M14" s="2"/>
      <c r="N14" s="2"/>
      <c r="O14" s="2"/>
      <c r="P14" s="2"/>
      <c r="Q14" s="2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</row>
    <row r="15" spans="3:35">
      <c r="C15" t="s">
        <v>16</v>
      </c>
      <c r="D15" t="s">
        <v>15</v>
      </c>
      <c r="E15" s="4">
        <v>20</v>
      </c>
      <c r="F15" s="4">
        <v>100</v>
      </c>
      <c r="G15" s="4">
        <v>250</v>
      </c>
      <c r="H15" s="4">
        <v>260</v>
      </c>
      <c r="I15" s="4">
        <v>20</v>
      </c>
      <c r="J15" s="4">
        <v>100</v>
      </c>
      <c r="K15" s="4">
        <v>250</v>
      </c>
      <c r="L15" s="2"/>
      <c r="M15" s="2"/>
      <c r="N15" s="2"/>
      <c r="O15" s="2"/>
      <c r="P15" s="2"/>
      <c r="Q15" s="2"/>
      <c r="W15" s="12" t="s">
        <v>32</v>
      </c>
      <c r="X15" s="11">
        <f>W11*X11/43560</f>
        <v>160</v>
      </c>
      <c r="Y15" s="12" t="s">
        <v>45</v>
      </c>
      <c r="Z15" s="10"/>
      <c r="AA15" s="10"/>
      <c r="AB15" s="10"/>
      <c r="AC15" s="10"/>
      <c r="AD15" s="10"/>
      <c r="AE15" s="10"/>
      <c r="AF15" s="10"/>
      <c r="AG15" s="10"/>
      <c r="AH15" s="10"/>
      <c r="AI15" s="10"/>
    </row>
    <row r="16" spans="3:35">
      <c r="C16" t="s">
        <v>17</v>
      </c>
      <c r="D16" t="s">
        <v>15</v>
      </c>
      <c r="E16" s="4">
        <f>5280/2</f>
        <v>2640</v>
      </c>
      <c r="F16" s="4">
        <f t="shared" si="5"/>
        <v>2640</v>
      </c>
      <c r="G16" s="4">
        <f t="shared" si="4"/>
        <v>2640</v>
      </c>
      <c r="H16" s="4">
        <f t="shared" si="4"/>
        <v>2640</v>
      </c>
      <c r="I16" s="4">
        <f t="shared" si="4"/>
        <v>2640</v>
      </c>
      <c r="J16" s="4">
        <f t="shared" si="4"/>
        <v>2640</v>
      </c>
      <c r="K16" s="4">
        <f t="shared" si="4"/>
        <v>2640</v>
      </c>
      <c r="L16" s="2"/>
      <c r="M16" s="2"/>
      <c r="N16" s="2"/>
      <c r="O16" s="2"/>
      <c r="P16" s="2"/>
      <c r="Q16" s="2"/>
      <c r="W16" s="10" t="str">
        <f>"Model Geometry &amp; Well Location" &amp;CHAR(13)&amp; "Area: " &amp; ROUND(X15,0) &amp; "Acres"</f>
        <v>Model Geometry &amp; Well Location_x000D_Area: 160Acres</v>
      </c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</row>
    <row r="17" spans="1:35">
      <c r="C17" t="s">
        <v>18</v>
      </c>
      <c r="D17" t="s">
        <v>15</v>
      </c>
      <c r="E17" s="4">
        <f>5280/2</f>
        <v>2640</v>
      </c>
      <c r="F17" s="4">
        <f t="shared" si="5"/>
        <v>2640</v>
      </c>
      <c r="G17" s="4">
        <f t="shared" si="4"/>
        <v>2640</v>
      </c>
      <c r="H17" s="4">
        <f t="shared" si="4"/>
        <v>2640</v>
      </c>
      <c r="I17" s="4">
        <f t="shared" si="4"/>
        <v>2640</v>
      </c>
      <c r="J17" s="4">
        <f t="shared" si="4"/>
        <v>2640</v>
      </c>
      <c r="K17" s="4">
        <f t="shared" si="4"/>
        <v>2640</v>
      </c>
      <c r="L17" s="2"/>
      <c r="M17" s="2"/>
      <c r="N17" s="2"/>
      <c r="O17" s="2"/>
      <c r="P17" s="2"/>
      <c r="Q17" s="2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</row>
    <row r="18" spans="1:35">
      <c r="C18" t="s">
        <v>19</v>
      </c>
      <c r="D18" t="s">
        <v>15</v>
      </c>
      <c r="E18" s="4">
        <f>Xe/2</f>
        <v>1320</v>
      </c>
      <c r="F18" s="4">
        <f t="shared" si="5"/>
        <v>1320</v>
      </c>
      <c r="G18" s="4">
        <f t="shared" si="4"/>
        <v>1320</v>
      </c>
      <c r="H18" s="4">
        <f t="shared" si="4"/>
        <v>1320</v>
      </c>
      <c r="I18" s="4">
        <f t="shared" si="4"/>
        <v>1320</v>
      </c>
      <c r="J18" s="4">
        <f t="shared" si="4"/>
        <v>1320</v>
      </c>
      <c r="K18" s="4">
        <f t="shared" si="4"/>
        <v>1320</v>
      </c>
      <c r="L18" s="2"/>
      <c r="M18" s="2"/>
      <c r="N18" s="2"/>
      <c r="O18" s="2"/>
      <c r="P18" s="2"/>
      <c r="Q18" s="2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</row>
    <row r="19" spans="1:35">
      <c r="C19" t="s">
        <v>20</v>
      </c>
      <c r="D19" t="s">
        <v>15</v>
      </c>
      <c r="E19" s="4">
        <f>Ye/2</f>
        <v>1320</v>
      </c>
      <c r="F19" s="4">
        <f t="shared" si="5"/>
        <v>1320</v>
      </c>
      <c r="G19" s="4">
        <f t="shared" si="4"/>
        <v>1320</v>
      </c>
      <c r="H19" s="4">
        <f t="shared" si="4"/>
        <v>1320</v>
      </c>
      <c r="I19" s="4">
        <f t="shared" si="4"/>
        <v>1320</v>
      </c>
      <c r="J19" s="4">
        <f t="shared" si="4"/>
        <v>1320</v>
      </c>
      <c r="K19" s="4">
        <f t="shared" si="4"/>
        <v>1320</v>
      </c>
      <c r="L19" s="2"/>
      <c r="M19" s="2"/>
      <c r="N19" s="2"/>
      <c r="O19" s="2"/>
      <c r="P19" s="2"/>
      <c r="Q19" s="2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</row>
    <row r="20" spans="1:35">
      <c r="C20" t="s">
        <v>21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2"/>
      <c r="M20" s="2"/>
      <c r="N20" s="2"/>
      <c r="O20" s="2"/>
      <c r="P20" s="2"/>
      <c r="Q20" s="2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</row>
    <row r="21" spans="1:35">
      <c r="C21" t="s">
        <v>22</v>
      </c>
      <c r="E21" s="4">
        <v>0</v>
      </c>
      <c r="F21" s="4">
        <f t="shared" si="5"/>
        <v>0</v>
      </c>
      <c r="G21" s="4">
        <f t="shared" si="4"/>
        <v>0</v>
      </c>
      <c r="H21" s="4">
        <f t="shared" si="4"/>
        <v>0</v>
      </c>
      <c r="I21" s="4">
        <f t="shared" si="4"/>
        <v>0</v>
      </c>
      <c r="J21" s="4">
        <f t="shared" si="4"/>
        <v>0</v>
      </c>
      <c r="K21" s="4">
        <f t="shared" si="4"/>
        <v>0</v>
      </c>
      <c r="L21" s="2"/>
      <c r="M21" s="2"/>
      <c r="N21" s="2"/>
      <c r="O21" s="2"/>
      <c r="P21" s="2"/>
      <c r="Q21" s="2"/>
    </row>
    <row r="22" spans="1:35">
      <c r="A22">
        <v>1</v>
      </c>
      <c r="C22" t="s">
        <v>23</v>
      </c>
      <c r="D22" t="s">
        <v>36</v>
      </c>
      <c r="E22" s="4">
        <v>1</v>
      </c>
      <c r="F22" s="4">
        <v>1</v>
      </c>
      <c r="G22" s="4">
        <v>1</v>
      </c>
      <c r="H22" s="4">
        <v>1</v>
      </c>
      <c r="I22" s="4">
        <v>1</v>
      </c>
      <c r="J22" s="4">
        <v>1</v>
      </c>
      <c r="K22" s="4">
        <v>1</v>
      </c>
      <c r="L22" s="2"/>
      <c r="M22" s="2"/>
      <c r="N22" s="2"/>
      <c r="O22" s="2"/>
      <c r="P22" s="2"/>
      <c r="Q22" s="2"/>
    </row>
    <row r="23" spans="1:35">
      <c r="C23" t="s">
        <v>25</v>
      </c>
      <c r="D23" t="s">
        <v>37</v>
      </c>
      <c r="E23" s="9">
        <v>1E-4</v>
      </c>
      <c r="F23" s="9">
        <v>1E-4</v>
      </c>
      <c r="G23" s="9">
        <v>1E-4</v>
      </c>
      <c r="H23" s="9">
        <v>1E-4</v>
      </c>
      <c r="I23" s="9">
        <v>1E-4</v>
      </c>
      <c r="J23" s="9">
        <v>1E-4</v>
      </c>
      <c r="K23" s="9">
        <v>1E-4</v>
      </c>
      <c r="L23" s="2"/>
      <c r="M23" s="2"/>
      <c r="N23" s="2"/>
      <c r="O23" s="2"/>
      <c r="P23" s="2"/>
      <c r="Q23" s="2"/>
    </row>
    <row r="24" spans="1:35">
      <c r="B24" s="3">
        <v>5.5E-2</v>
      </c>
      <c r="C24" t="s">
        <v>30</v>
      </c>
      <c r="E24" s="7">
        <f>E14*EXP(-E20)</f>
        <v>0.32800000000000001</v>
      </c>
      <c r="F24" s="7">
        <f t="shared" ref="F24:K24" si="6">F14*EXP(-F20)</f>
        <v>0.32800000000000001</v>
      </c>
      <c r="G24" s="7">
        <f t="shared" si="6"/>
        <v>0.32800000000000001</v>
      </c>
      <c r="H24" s="7">
        <f t="shared" si="6"/>
        <v>0.32800000000000001</v>
      </c>
      <c r="I24" s="7">
        <f t="shared" si="6"/>
        <v>0.32800000000000001</v>
      </c>
      <c r="J24" s="7">
        <f t="shared" si="6"/>
        <v>0.32800000000000001</v>
      </c>
      <c r="K24" s="7">
        <f t="shared" si="6"/>
        <v>0.32800000000000001</v>
      </c>
    </row>
    <row r="25" spans="1:35" ht="28.8">
      <c r="A25" s="6" t="s">
        <v>28</v>
      </c>
      <c r="B25" s="6" t="s">
        <v>27</v>
      </c>
      <c r="C25" s="17">
        <f>365*30</f>
        <v>10950</v>
      </c>
      <c r="D25" s="6" t="s">
        <v>26</v>
      </c>
      <c r="E25" s="14">
        <f>CumqVSqNFB($C25,E$6,E$7,E$8,E$9,E$10,E$11,E$12,E$13,E$14,E$15,E$16,E$17,E$18,E$19,E$20,E$21,E$22,E$23)</f>
        <v>39389.163926441834</v>
      </c>
      <c r="F25" s="14">
        <f>CumqVSqNFB($C25,F$6,F$7,F$8,F$9,F$10,F$11,F$12,F$13,F$14,F$15,F$16,F$17,F$18,F$19,F$20,F$21,F$22,F$23)</f>
        <v>39389.597332229627</v>
      </c>
      <c r="G25" s="14">
        <f>CumqVSqNFB($C25,G$6,G$7,G$8,G$9,G$10,G$11,G$12,G$13,G$14,G$15,G$16,G$17,G$18,G$19,G$20,G$21,G$22,G$23)</f>
        <v>39389.252893488287</v>
      </c>
      <c r="H25" s="14"/>
      <c r="I25" s="14">
        <f>CumqVSqNFB($C25,I$6,I$7,I$8,I$9,I$10,I$11,I$12,I$13,I$14,I$15,I$16,I$17,I$18,I$19,I$20,I$21,I$22,I$23)</f>
        <v>23266.553750107989</v>
      </c>
      <c r="J25" s="14">
        <f>CumqVSqNFB($C25,J$6,J$7,J$8,J$9,J$10,J$11,J$12,J$13,J$14,J$15,J$16,J$17,J$18,J$19,J$20,J$21,J$22,J$23)</f>
        <v>29887.274400860759</v>
      </c>
      <c r="K25" s="14">
        <f>CumqVSqNFB($C25,K$6,K$7,K$8,K$9,K$10,K$11,K$12,K$13,K$14,K$15,K$16,K$17,K$18,K$19,K$20,K$21,K$22,K$23)</f>
        <v>34662.859799420126</v>
      </c>
      <c r="L25" s="5" t="s">
        <v>47</v>
      </c>
      <c r="M25" s="5">
        <f>350*30</f>
        <v>10500</v>
      </c>
      <c r="O25" s="4">
        <v>200</v>
      </c>
      <c r="P25">
        <v>50</v>
      </c>
    </row>
    <row r="26" spans="1:35">
      <c r="A26" s="3">
        <f t="shared" ref="A26:A89" si="7">D26/365</f>
        <v>8.4931506849315067E-2</v>
      </c>
      <c r="B26" s="4">
        <v>-0.1</v>
      </c>
      <c r="C26">
        <f>10^B26</f>
        <v>0.79432823472428149</v>
      </c>
      <c r="D26" s="5">
        <v>31</v>
      </c>
      <c r="E26" s="5">
        <f t="array" ref="E26:E106">qVSqNFB($D$26:$D$106,E$6,E$7,E$8,E$9,E$10,E$11,E$12,E$13,E$14,E$15,E$16,E$17,E$18,E$19,E$20,E$21,E$22,E$23)</f>
        <v>48.120029482568555</v>
      </c>
      <c r="F26" s="5">
        <f t="array" ref="F26:F106">qVSqNFB($D$26:$D$106,F$6,F$7,F$8,F$9,F$10,F$11,F$12,F$13,F$14,F$15,F$16,F$17,F$18,F$19,F$20,F$21,F$22,F$23)</f>
        <v>74.891066155097747</v>
      </c>
      <c r="G26" s="5">
        <f t="array" ref="G26:G106">qVSqNFB($D$26:$D$106,G$6,G$7,G$8,G$9,G$10,G$11,G$12,G$13,G$14,G$15,G$16,G$17,G$18,G$19,G$20,G$21,G$22,G$23)</f>
        <v>106.68821562054993</v>
      </c>
      <c r="H26" s="5"/>
      <c r="I26" s="5">
        <f t="array" ref="I26:I106">qVSqNFB($D$26:$D$106,I$6,I$7,I$8,I$9,I$10,I$11,I$12,I$13,I$14,I$15,I$16,I$17,I$18,I$19,I$20,I$21,I$22,I$23)</f>
        <v>4.5968094627515326</v>
      </c>
      <c r="J26" s="5">
        <f t="array" ref="J26:J106">qVSqNFB($D$26:$D$106,J$6,J$7,J$8,J$9,J$10,J$11,J$12,J$13,J$14,J$15,J$16,J$17,J$18,J$19,J$20,J$21,J$22,J$23)</f>
        <v>8.7981780518185726</v>
      </c>
      <c r="K26" s="5">
        <f t="array" ref="K26:K106">qVSqNFB($D$26:$D$106,K$6,K$7,K$8,K$9,K$10,K$11,K$12,K$13,K$14,K$15,K$16,K$17,K$18,K$19,K$20,K$21,K$22,K$23)</f>
        <v>16.018181173567609</v>
      </c>
      <c r="L26" s="5"/>
      <c r="M26" s="5">
        <v>0.97</v>
      </c>
      <c r="N26" s="5" t="s">
        <v>55</v>
      </c>
      <c r="O26" s="4">
        <v>150</v>
      </c>
      <c r="P26" s="5">
        <f>P25+$O$25</f>
        <v>250</v>
      </c>
      <c r="Q26" s="5">
        <f t="shared" ref="Q26:U26" si="8">P26+$O$25</f>
        <v>450</v>
      </c>
      <c r="R26" s="5">
        <f t="shared" si="8"/>
        <v>650</v>
      </c>
      <c r="S26" s="5">
        <f t="shared" si="8"/>
        <v>850</v>
      </c>
      <c r="T26" s="5">
        <f t="shared" si="8"/>
        <v>1050</v>
      </c>
      <c r="U26" s="5">
        <f t="shared" si="8"/>
        <v>1250</v>
      </c>
      <c r="V26" t="s">
        <v>56</v>
      </c>
    </row>
    <row r="27" spans="1:35">
      <c r="A27" s="3">
        <f t="shared" si="7"/>
        <v>0.16164383561643836</v>
      </c>
      <c r="B27" s="3">
        <f>B26+$B$24</f>
        <v>-4.5000000000000005E-2</v>
      </c>
      <c r="D27" s="5">
        <v>59</v>
      </c>
      <c r="E27" s="5">
        <v>44.802829356357485</v>
      </c>
      <c r="F27" s="5">
        <v>67.40012516811322</v>
      </c>
      <c r="G27" s="5">
        <v>92.622243008536572</v>
      </c>
      <c r="H27" s="5"/>
      <c r="I27" s="5">
        <v>4.1740635667765442</v>
      </c>
      <c r="J27" s="5">
        <v>7.4995622890088081</v>
      </c>
      <c r="K27" s="5">
        <v>12.666579224413878</v>
      </c>
      <c r="L27" s="5"/>
      <c r="M27" s="5">
        <v>-9</v>
      </c>
      <c r="N27" s="18">
        <f>EXP(M27)</f>
        <v>1.2340980408667956E-4</v>
      </c>
      <c r="O27" s="5">
        <f>CumqVSqNFB($M$25,E$6,E$7,$N27,E$9,E$10,E$11,E$12,E$13,E$14,O$26,E$16,E$17,E$18,E$19,E$20,E$21,E$22,E$23)</f>
        <v>87.681588586316778</v>
      </c>
      <c r="P27" s="5">
        <f t="shared" ref="P27:U27" si="9">CumqVSqNFB($M$25,F$6,F$7,$N27,F$9,F$10,F$11,F$12,F$13,F$14,P$26,F$16,F$17,F$18,F$19,F$20,F$21,F$22,F$23)</f>
        <v>142.98317089583099</v>
      </c>
      <c r="Q27" s="5">
        <f t="shared" si="9"/>
        <v>256.7853436113511</v>
      </c>
      <c r="R27" s="5">
        <f t="shared" si="9"/>
        <v>370.91766050256388</v>
      </c>
      <c r="S27" s="5">
        <f t="shared" si="9"/>
        <v>485.04615839024035</v>
      </c>
      <c r="T27" s="5">
        <f t="shared" si="9"/>
        <v>599.17467191413562</v>
      </c>
      <c r="U27" s="5">
        <f t="shared" si="9"/>
        <v>713.30316630888819</v>
      </c>
      <c r="V27" s="19">
        <f>MIN(O27:U27)</f>
        <v>87.681588586316778</v>
      </c>
    </row>
    <row r="28" spans="1:35">
      <c r="A28" s="3">
        <f t="shared" si="7"/>
        <v>0.24657534246575341</v>
      </c>
      <c r="B28" s="3">
        <f t="shared" ref="B28:B91" si="10">B27+$B$24</f>
        <v>9.999999999999995E-3</v>
      </c>
      <c r="D28" s="5">
        <v>90</v>
      </c>
      <c r="E28" s="5">
        <v>42.646797917040004</v>
      </c>
      <c r="F28" s="5">
        <v>62.577290086543634</v>
      </c>
      <c r="G28" s="5">
        <v>83.470811868890152</v>
      </c>
      <c r="H28" s="5"/>
      <c r="I28" s="5">
        <v>3.9343630607605826</v>
      </c>
      <c r="J28" s="5">
        <v>6.8221616796342044</v>
      </c>
      <c r="K28" s="5">
        <v>10.996110495073086</v>
      </c>
      <c r="L28" s="5"/>
      <c r="M28" s="5">
        <f>M27+$M$26</f>
        <v>-8.0299999999999994</v>
      </c>
      <c r="N28" s="18">
        <f t="shared" ref="N28:N41" si="11">EXP(M28)</f>
        <v>3.2554820892043796E-4</v>
      </c>
      <c r="O28" s="5">
        <f t="shared" ref="O28:O41" si="12">CumqVSqNFB($M$25,E$6,E$7,$N28,E$9,E$10,E$11,E$12,E$13,E$14,O$26,E$16,E$17,E$18,E$19,E$20,E$21,E$22,E$23)</f>
        <v>150.33364638754009</v>
      </c>
      <c r="P28" s="5">
        <f t="shared" ref="P28:P41" si="13">CumqVSqNFB($M$25,F$6,F$7,$N28,F$9,F$10,F$11,F$12,F$13,F$14,P$26,F$16,F$17,F$18,F$19,F$20,F$21,F$22,F$23)</f>
        <v>236.89052623203577</v>
      </c>
      <c r="Q28" s="5">
        <f t="shared" ref="Q28:Q41" si="14">CumqVSqNFB($M$25,G$6,G$7,$N28,G$9,G$10,G$11,G$12,G$13,G$14,Q$26,G$16,G$17,G$18,G$19,G$20,G$21,G$22,G$23)</f>
        <v>417.51809293405398</v>
      </c>
      <c r="R28" s="5">
        <f t="shared" ref="R28:R41" si="15">CumqVSqNFB($M$25,H$6,H$7,$N28,H$9,H$10,H$11,H$12,H$13,H$14,R$26,H$16,H$17,H$18,H$19,H$20,H$21,H$22,H$23)</f>
        <v>602.44700330135561</v>
      </c>
      <c r="S28" s="5">
        <f t="shared" ref="S28:S41" si="16">CumqVSqNFB($M$25,I$6,I$7,$N28,I$9,I$10,I$11,I$12,I$13,I$14,S$26,I$16,I$17,I$18,I$19,I$20,I$21,I$22,I$23)</f>
        <v>787.80001907435565</v>
      </c>
      <c r="T28" s="5">
        <f t="shared" ref="T28:T41" si="17">CumqVSqNFB($M$25,J$6,J$7,$N28,J$9,J$10,J$11,J$12,J$13,J$14,T$26,J$16,J$17,J$18,J$19,J$20,J$21,J$22,J$23)</f>
        <v>973.16450616354132</v>
      </c>
      <c r="U28" s="5">
        <f t="shared" ref="U28:U41" si="18">CumqVSqNFB($M$25,K$6,K$7,$N28,K$9,K$10,K$11,K$12,K$13,K$14,U$26,K$16,K$17,K$18,K$19,K$20,K$21,K$22,K$23)</f>
        <v>1158.5291965551742</v>
      </c>
      <c r="V28" s="19">
        <f t="shared" ref="V28:V41" si="19">MIN(O28:U28)</f>
        <v>150.33364638754009</v>
      </c>
      <c r="Y28" s="5">
        <v>90</v>
      </c>
    </row>
    <row r="29" spans="1:35">
      <c r="A29" s="3">
        <f t="shared" si="7"/>
        <v>0.32876712328767121</v>
      </c>
      <c r="B29" s="3">
        <f t="shared" si="10"/>
        <v>6.5000000000000002E-2</v>
      </c>
      <c r="D29" s="5">
        <v>120</v>
      </c>
      <c r="E29" s="5">
        <v>40.98376263952791</v>
      </c>
      <c r="F29" s="5">
        <v>58.842696097338113</v>
      </c>
      <c r="G29" s="5">
        <v>76.341159449742392</v>
      </c>
      <c r="H29" s="5"/>
      <c r="I29" s="5">
        <v>3.7854677439914233</v>
      </c>
      <c r="J29" s="5">
        <v>6.4206740093485131</v>
      </c>
      <c r="K29" s="5">
        <v>10.063680594025252</v>
      </c>
      <c r="L29" s="5"/>
      <c r="M29" s="5">
        <f t="shared" ref="M29:M41" si="20">M28+$M$26</f>
        <v>-7.06</v>
      </c>
      <c r="N29" s="18">
        <f t="shared" si="11"/>
        <v>8.5877809397433725E-4</v>
      </c>
      <c r="O29" s="5">
        <f t="shared" si="12"/>
        <v>264.82804039457352</v>
      </c>
      <c r="P29" s="5">
        <f t="shared" si="13"/>
        <v>405.45752144999545</v>
      </c>
      <c r="Q29" s="5">
        <f t="shared" si="14"/>
        <v>687.8944650792057</v>
      </c>
      <c r="R29" s="5">
        <f t="shared" si="15"/>
        <v>980.9052254468545</v>
      </c>
      <c r="S29" s="5">
        <f t="shared" si="16"/>
        <v>1279.5837278838262</v>
      </c>
      <c r="T29" s="5">
        <f t="shared" si="17"/>
        <v>1580.4196222133864</v>
      </c>
      <c r="U29" s="5">
        <f t="shared" si="18"/>
        <v>1881.6573908063931</v>
      </c>
      <c r="V29" s="19">
        <f t="shared" si="19"/>
        <v>264.82804039457352</v>
      </c>
      <c r="Y29" s="5">
        <v>120</v>
      </c>
    </row>
    <row r="30" spans="1:35">
      <c r="A30" s="3">
        <f t="shared" si="7"/>
        <v>0.41369863013698632</v>
      </c>
      <c r="B30" s="3">
        <f t="shared" si="10"/>
        <v>0.12</v>
      </c>
      <c r="D30" s="5">
        <v>151</v>
      </c>
      <c r="E30" s="5">
        <v>39.428254389588041</v>
      </c>
      <c r="F30" s="5">
        <v>55.377410603795738</v>
      </c>
      <c r="G30" s="5">
        <v>69.818180114119727</v>
      </c>
      <c r="H30" s="5"/>
      <c r="I30" s="5">
        <v>3.6740176471755079</v>
      </c>
      <c r="J30" s="5">
        <v>6.1294015561979744</v>
      </c>
      <c r="K30" s="5">
        <v>9.4173396071254771</v>
      </c>
      <c r="L30" s="5"/>
      <c r="M30" s="5">
        <f t="shared" si="20"/>
        <v>-6.09</v>
      </c>
      <c r="N30" s="18">
        <f t="shared" si="11"/>
        <v>2.265408914814322E-3</v>
      </c>
      <c r="O30" s="5">
        <f t="shared" si="12"/>
        <v>474.25196061916745</v>
      </c>
      <c r="P30" s="5">
        <f t="shared" si="13"/>
        <v>713.12475690164683</v>
      </c>
      <c r="Q30" s="5">
        <f t="shared" si="14"/>
        <v>1169.12457980673</v>
      </c>
      <c r="R30" s="5">
        <f t="shared" si="15"/>
        <v>1626.4985667409746</v>
      </c>
      <c r="S30" s="5">
        <f t="shared" si="16"/>
        <v>2095.1706653852943</v>
      </c>
      <c r="T30" s="5">
        <f t="shared" si="17"/>
        <v>2573.6716528403208</v>
      </c>
      <c r="U30" s="5">
        <f t="shared" si="18"/>
        <v>3058.8435337616493</v>
      </c>
      <c r="V30" s="19">
        <f t="shared" si="19"/>
        <v>474.25196061916745</v>
      </c>
      <c r="Y30" s="5">
        <v>151</v>
      </c>
    </row>
    <row r="31" spans="1:35">
      <c r="A31" s="3">
        <f t="shared" si="7"/>
        <v>0.49589041095890413</v>
      </c>
      <c r="B31" s="3">
        <f t="shared" si="10"/>
        <v>0.17499999999999999</v>
      </c>
      <c r="D31" s="5">
        <v>181</v>
      </c>
      <c r="E31" s="5">
        <v>38.007355444027084</v>
      </c>
      <c r="F31" s="5">
        <v>52.261663801537267</v>
      </c>
      <c r="G31" s="5">
        <v>64.087541290831396</v>
      </c>
      <c r="H31" s="5"/>
      <c r="I31" s="5">
        <v>3.590198527725188</v>
      </c>
      <c r="J31" s="5">
        <v>5.9156085940266587</v>
      </c>
      <c r="K31" s="5">
        <v>8.9596025777802559</v>
      </c>
      <c r="L31" s="5"/>
      <c r="M31" s="5">
        <f t="shared" si="20"/>
        <v>-5.12</v>
      </c>
      <c r="N31" s="18">
        <f t="shared" si="11"/>
        <v>5.9760228950059427E-3</v>
      </c>
      <c r="O31" s="5">
        <f t="shared" si="12"/>
        <v>872.90344141378944</v>
      </c>
      <c r="P31" s="5">
        <f t="shared" si="13"/>
        <v>1276.4440892911532</v>
      </c>
      <c r="Q31" s="5">
        <f t="shared" si="14"/>
        <v>2046.9044830350451</v>
      </c>
      <c r="R31" s="5">
        <f t="shared" si="15"/>
        <v>2786.5926051328033</v>
      </c>
      <c r="S31" s="5">
        <f t="shared" si="16"/>
        <v>3523.6335085899004</v>
      </c>
      <c r="T31" s="5">
        <f t="shared" si="17"/>
        <v>4269.0698757374639</v>
      </c>
      <c r="U31" s="5">
        <f t="shared" si="18"/>
        <v>5016.5306662376488</v>
      </c>
      <c r="V31" s="19">
        <f t="shared" si="19"/>
        <v>872.90344141378944</v>
      </c>
      <c r="Y31" s="5">
        <v>181</v>
      </c>
    </row>
    <row r="32" spans="1:35">
      <c r="A32" s="3">
        <f t="shared" si="7"/>
        <v>0.58082191780821912</v>
      </c>
      <c r="B32" s="3">
        <f t="shared" si="10"/>
        <v>0.22999999999999998</v>
      </c>
      <c r="D32" s="5">
        <v>212</v>
      </c>
      <c r="E32" s="5">
        <v>36.60168954860594</v>
      </c>
      <c r="F32" s="5">
        <v>49.238783208723433</v>
      </c>
      <c r="G32" s="5">
        <v>58.673136895757672</v>
      </c>
      <c r="H32" s="5"/>
      <c r="I32" s="5">
        <v>3.5202129128824859</v>
      </c>
      <c r="J32" s="5">
        <v>5.7401482896656839</v>
      </c>
      <c r="K32" s="5">
        <v>8.5926049463085601</v>
      </c>
      <c r="L32" s="5"/>
      <c r="M32" s="5">
        <f t="shared" si="20"/>
        <v>-4.1500000000000004</v>
      </c>
      <c r="N32" s="18">
        <f t="shared" si="11"/>
        <v>1.5764416484854486E-2</v>
      </c>
      <c r="O32" s="5">
        <f t="shared" si="12"/>
        <v>1681.896564430358</v>
      </c>
      <c r="P32" s="5">
        <f t="shared" si="13"/>
        <v>2344.7564559093553</v>
      </c>
      <c r="Q32" s="5">
        <f t="shared" si="14"/>
        <v>3650.3509159024065</v>
      </c>
      <c r="R32" s="5">
        <f t="shared" si="15"/>
        <v>4904.7279015196136</v>
      </c>
      <c r="S32" s="5">
        <f t="shared" si="16"/>
        <v>6117.0191786229097</v>
      </c>
      <c r="T32" s="5">
        <f t="shared" si="17"/>
        <v>7307.75983884787</v>
      </c>
      <c r="U32" s="5">
        <f t="shared" si="18"/>
        <v>8338.3545361148699</v>
      </c>
      <c r="V32" s="19">
        <f t="shared" si="19"/>
        <v>1681.896564430358</v>
      </c>
      <c r="Y32" s="5">
        <v>212</v>
      </c>
    </row>
    <row r="33" spans="1:25">
      <c r="A33" s="3">
        <f t="shared" si="7"/>
        <v>0.66575342465753429</v>
      </c>
      <c r="B33" s="3">
        <f t="shared" si="10"/>
        <v>0.28499999999999998</v>
      </c>
      <c r="D33" s="5">
        <v>243</v>
      </c>
      <c r="E33" s="5">
        <v>35.250963001299688</v>
      </c>
      <c r="F33" s="5">
        <v>46.394564677494792</v>
      </c>
      <c r="G33" s="5">
        <v>53.719514559948287</v>
      </c>
      <c r="H33" s="5"/>
      <c r="I33" s="5">
        <v>3.4618384757265717</v>
      </c>
      <c r="J33" s="5">
        <v>5.5960871514863388</v>
      </c>
      <c r="K33" s="5">
        <v>8.2973574663003458</v>
      </c>
      <c r="L33" s="5"/>
      <c r="M33" s="5">
        <f t="shared" si="20"/>
        <v>-3.1800000000000006</v>
      </c>
      <c r="N33" s="18">
        <f t="shared" si="11"/>
        <v>4.1585655121173147E-2</v>
      </c>
      <c r="O33" s="5">
        <f t="shared" si="12"/>
        <v>3401.7755331060207</v>
      </c>
      <c r="P33" s="5">
        <f t="shared" si="13"/>
        <v>4505.8996510686011</v>
      </c>
      <c r="Q33" s="5">
        <f t="shared" si="14"/>
        <v>6655.9725062417601</v>
      </c>
      <c r="R33" s="5">
        <f t="shared" si="15"/>
        <v>8779.5633843041323</v>
      </c>
      <c r="S33" s="5">
        <f t="shared" si="16"/>
        <v>10827.110653526261</v>
      </c>
      <c r="T33" s="5">
        <f t="shared" si="17"/>
        <v>12667.970959480608</v>
      </c>
      <c r="U33" s="5">
        <f t="shared" si="18"/>
        <v>13805.687131823417</v>
      </c>
      <c r="V33" s="19">
        <f t="shared" si="19"/>
        <v>3401.7755331060207</v>
      </c>
      <c r="Y33" s="5">
        <v>243</v>
      </c>
    </row>
    <row r="34" spans="1:25">
      <c r="A34" s="3">
        <f t="shared" si="7"/>
        <v>0.74794520547945209</v>
      </c>
      <c r="B34" s="3">
        <f t="shared" si="10"/>
        <v>0.33999999999999997</v>
      </c>
      <c r="D34" s="5">
        <v>273</v>
      </c>
      <c r="E34" s="5">
        <v>33.991993613315152</v>
      </c>
      <c r="F34" s="5">
        <v>43.79945086256685</v>
      </c>
      <c r="G34" s="5">
        <v>49.325137329078885</v>
      </c>
      <c r="H34" s="5"/>
      <c r="I34" s="5">
        <v>3.4135424541513233</v>
      </c>
      <c r="J34" s="5">
        <v>5.4784463108889341</v>
      </c>
      <c r="K34" s="5">
        <v>8.0595656442716148</v>
      </c>
      <c r="L34" s="5"/>
      <c r="M34" s="5">
        <f t="shared" si="20"/>
        <v>-2.2100000000000009</v>
      </c>
      <c r="N34" s="18">
        <f t="shared" si="11"/>
        <v>0.10970064851551131</v>
      </c>
      <c r="O34" s="5">
        <f t="shared" si="12"/>
        <v>7166.8371455194065</v>
      </c>
      <c r="P34" s="5">
        <f t="shared" si="13"/>
        <v>9070.0049482866289</v>
      </c>
      <c r="Q34" s="5">
        <f t="shared" si="14"/>
        <v>12587.816874217015</v>
      </c>
      <c r="R34" s="5">
        <f t="shared" si="15"/>
        <v>15935.809341631666</v>
      </c>
      <c r="S34" s="5">
        <f t="shared" si="16"/>
        <v>19005.132827573871</v>
      </c>
      <c r="T34" s="5">
        <f t="shared" si="17"/>
        <v>21407.059840951013</v>
      </c>
      <c r="U34" s="5">
        <f t="shared" si="18"/>
        <v>22470.301887642629</v>
      </c>
      <c r="V34" s="19">
        <f t="shared" si="19"/>
        <v>7166.8371455194065</v>
      </c>
      <c r="Y34" s="5">
        <v>273</v>
      </c>
    </row>
    <row r="35" spans="1:25">
      <c r="A35" s="3">
        <f t="shared" si="7"/>
        <v>0.83287671232876714</v>
      </c>
      <c r="B35" s="3">
        <f t="shared" si="10"/>
        <v>0.39499999999999996</v>
      </c>
      <c r="D35" s="5">
        <v>304</v>
      </c>
      <c r="E35" s="5">
        <v>32.738626229071784</v>
      </c>
      <c r="F35" s="5">
        <v>41.270485281102403</v>
      </c>
      <c r="G35" s="5">
        <v>45.161765943675789</v>
      </c>
      <c r="H35" s="5"/>
      <c r="I35" s="5">
        <v>3.3699968191111234</v>
      </c>
      <c r="J35" s="5">
        <v>5.3734721965976133</v>
      </c>
      <c r="K35" s="5">
        <v>7.8507646934967985</v>
      </c>
      <c r="L35" s="5"/>
      <c r="M35" s="5">
        <f t="shared" si="20"/>
        <v>-1.2400000000000009</v>
      </c>
      <c r="N35" s="18">
        <f t="shared" si="11"/>
        <v>0.28938421793905039</v>
      </c>
      <c r="O35" s="5">
        <f t="shared" si="12"/>
        <v>15103.392112673782</v>
      </c>
      <c r="P35" s="5">
        <f t="shared" si="13"/>
        <v>18202.023682977986</v>
      </c>
      <c r="Q35" s="5">
        <f t="shared" si="14"/>
        <v>23298.28579781084</v>
      </c>
      <c r="R35" s="5">
        <f t="shared" si="15"/>
        <v>27461.939608797202</v>
      </c>
      <c r="S35" s="5">
        <f t="shared" si="16"/>
        <v>30672.172843059423</v>
      </c>
      <c r="T35" s="5">
        <f t="shared" si="17"/>
        <v>32724.601624314462</v>
      </c>
      <c r="U35" s="5">
        <f t="shared" si="18"/>
        <v>33438.049392319524</v>
      </c>
      <c r="V35" s="19">
        <f t="shared" si="19"/>
        <v>15103.392112673782</v>
      </c>
      <c r="Y35" s="5">
        <v>304</v>
      </c>
    </row>
    <row r="36" spans="1:25">
      <c r="A36" s="3">
        <f t="shared" si="7"/>
        <v>0.91506849315068495</v>
      </c>
      <c r="B36" s="3">
        <f t="shared" si="10"/>
        <v>0.44999999999999996</v>
      </c>
      <c r="D36" s="5">
        <v>334</v>
      </c>
      <c r="E36" s="5">
        <v>31.569701044028562</v>
      </c>
      <c r="F36" s="5">
        <v>38.962368117237418</v>
      </c>
      <c r="G36" s="5">
        <v>41.467616890832865</v>
      </c>
      <c r="H36" s="5"/>
      <c r="I36" s="5">
        <v>3.3327979714635654</v>
      </c>
      <c r="J36" s="5">
        <v>5.2847756910412533</v>
      </c>
      <c r="K36" s="5">
        <v>7.6759750744768924</v>
      </c>
      <c r="L36" s="5"/>
      <c r="M36" s="5">
        <f t="shared" si="20"/>
        <v>-0.27000000000000091</v>
      </c>
      <c r="N36" s="18">
        <f t="shared" si="11"/>
        <v>0.76337949433685248</v>
      </c>
      <c r="O36" s="5">
        <f t="shared" si="12"/>
        <v>27855.024627487019</v>
      </c>
      <c r="P36" s="5">
        <f t="shared" si="13"/>
        <v>31144.181780417322</v>
      </c>
      <c r="Q36" s="5">
        <f t="shared" si="14"/>
        <v>35191.762576658177</v>
      </c>
      <c r="R36" s="5">
        <f t="shared" si="15"/>
        <v>37379.699527412929</v>
      </c>
      <c r="S36" s="5">
        <f t="shared" si="16"/>
        <v>38458.748264629627</v>
      </c>
      <c r="T36" s="5">
        <f t="shared" si="17"/>
        <v>38901.832478588891</v>
      </c>
      <c r="U36" s="5">
        <f t="shared" si="18"/>
        <v>39010.655911665643</v>
      </c>
      <c r="V36" s="19">
        <f t="shared" si="19"/>
        <v>27855.024627487019</v>
      </c>
      <c r="Y36" s="5">
        <v>334</v>
      </c>
    </row>
    <row r="37" spans="1:25">
      <c r="A37" s="3">
        <f t="shared" si="7"/>
        <v>1</v>
      </c>
      <c r="B37" s="3">
        <f t="shared" si="10"/>
        <v>0.505</v>
      </c>
      <c r="D37" s="5">
        <v>365</v>
      </c>
      <c r="E37" s="5">
        <v>30.405703925186586</v>
      </c>
      <c r="F37" s="5">
        <v>36.712793577925488</v>
      </c>
      <c r="G37" s="5">
        <v>37.967653563738331</v>
      </c>
      <c r="H37" s="5"/>
      <c r="I37" s="5">
        <v>3.2984260186495526</v>
      </c>
      <c r="J37" s="5">
        <v>5.2034177848396919</v>
      </c>
      <c r="K37" s="5">
        <v>7.5172996033248856</v>
      </c>
      <c r="L37" s="5"/>
      <c r="M37" s="5">
        <f t="shared" si="20"/>
        <v>0.69999999999999907</v>
      </c>
      <c r="N37" s="18">
        <f t="shared" si="11"/>
        <v>2.0137527074704749</v>
      </c>
      <c r="O37" s="5">
        <f t="shared" si="12"/>
        <v>37771.143180314422</v>
      </c>
      <c r="P37" s="5">
        <f t="shared" si="13"/>
        <v>38705.57493162711</v>
      </c>
      <c r="Q37" s="5">
        <f t="shared" si="14"/>
        <v>39268.317735111217</v>
      </c>
      <c r="R37" s="5">
        <f t="shared" si="15"/>
        <v>39370.479865587207</v>
      </c>
      <c r="S37" s="5">
        <f t="shared" si="16"/>
        <v>39385.932489272389</v>
      </c>
      <c r="T37" s="5">
        <f t="shared" si="17"/>
        <v>39388.178946423643</v>
      </c>
      <c r="U37" s="5">
        <f t="shared" si="18"/>
        <v>39388.530403770448</v>
      </c>
      <c r="V37" s="19">
        <f t="shared" si="19"/>
        <v>37771.143180314422</v>
      </c>
      <c r="Y37" s="5">
        <v>365</v>
      </c>
    </row>
    <row r="38" spans="1:25">
      <c r="A38" s="3">
        <f t="shared" si="7"/>
        <v>1.0849315068493151</v>
      </c>
      <c r="B38" s="3">
        <f t="shared" si="10"/>
        <v>0.56000000000000005</v>
      </c>
      <c r="D38" s="5">
        <v>396</v>
      </c>
      <c r="E38" s="5">
        <v>29.284712357539366</v>
      </c>
      <c r="F38" s="5">
        <v>34.593217643993817</v>
      </c>
      <c r="G38" s="5">
        <v>34.762972865979229</v>
      </c>
      <c r="H38" s="5"/>
      <c r="I38" s="5">
        <v>3.2674413941640106</v>
      </c>
      <c r="J38" s="5">
        <v>5.1307209815167774</v>
      </c>
      <c r="K38" s="5">
        <v>7.3766651009052078</v>
      </c>
      <c r="M38" s="5">
        <f t="shared" si="20"/>
        <v>1.669999999999999</v>
      </c>
      <c r="N38" s="18">
        <f t="shared" si="11"/>
        <v>5.3121677971811616</v>
      </c>
      <c r="O38" s="5">
        <f t="shared" si="12"/>
        <v>39379.36706726101</v>
      </c>
      <c r="P38" s="5">
        <f t="shared" si="13"/>
        <v>39387.478734188197</v>
      </c>
      <c r="Q38" s="5">
        <f t="shared" si="14"/>
        <v>39389.242817957231</v>
      </c>
      <c r="R38" s="5">
        <f t="shared" si="15"/>
        <v>39389.311060201806</v>
      </c>
      <c r="S38" s="5">
        <f t="shared" si="16"/>
        <v>39389.069804434403</v>
      </c>
      <c r="T38" s="5">
        <f t="shared" si="17"/>
        <v>39388.933306601182</v>
      </c>
      <c r="U38" s="5">
        <f t="shared" si="18"/>
        <v>39388.900187328494</v>
      </c>
      <c r="V38" s="19">
        <f t="shared" si="19"/>
        <v>39379.36706726101</v>
      </c>
      <c r="Y38" s="5">
        <v>396</v>
      </c>
    </row>
    <row r="39" spans="1:25">
      <c r="A39" s="3">
        <f t="shared" si="7"/>
        <v>1.1616438356164382</v>
      </c>
      <c r="B39" s="3">
        <f t="shared" si="10"/>
        <v>0.6150000000000001</v>
      </c>
      <c r="D39" s="5">
        <v>424</v>
      </c>
      <c r="E39" s="5">
        <v>28.307770229352396</v>
      </c>
      <c r="F39" s="5">
        <v>32.784080923141417</v>
      </c>
      <c r="G39" s="5">
        <v>32.101709503287545</v>
      </c>
      <c r="H39" s="5"/>
      <c r="I39" s="5">
        <v>3.2419057336706092</v>
      </c>
      <c r="J39" s="5">
        <v>5.0712045560921286</v>
      </c>
      <c r="K39" s="5">
        <v>7.2622718991798916</v>
      </c>
      <c r="M39" s="5">
        <f t="shared" si="20"/>
        <v>2.6399999999999988</v>
      </c>
      <c r="N39" s="18">
        <f t="shared" si="11"/>
        <v>14.013203607733596</v>
      </c>
      <c r="O39" s="5">
        <f t="shared" si="12"/>
        <v>39390.211655584288</v>
      </c>
      <c r="P39" s="5">
        <f t="shared" si="13"/>
        <v>39390.071261415374</v>
      </c>
      <c r="Q39" s="5">
        <f t="shared" si="14"/>
        <v>39390.090500270577</v>
      </c>
      <c r="R39" s="5">
        <f t="shared" si="15"/>
        <v>39390.227576515616</v>
      </c>
      <c r="S39" s="5">
        <f t="shared" si="16"/>
        <v>39390.318081375604</v>
      </c>
      <c r="T39" s="5">
        <f t="shared" si="17"/>
        <v>39390.367449156074</v>
      </c>
      <c r="U39" s="5">
        <f t="shared" si="18"/>
        <v>39390.389970790704</v>
      </c>
      <c r="V39" s="19">
        <f t="shared" si="19"/>
        <v>39390.071261415374</v>
      </c>
      <c r="Y39" s="5">
        <v>424</v>
      </c>
    </row>
    <row r="40" spans="1:25">
      <c r="A40" s="3">
        <f t="shared" si="7"/>
        <v>1.2465753424657535</v>
      </c>
      <c r="B40" s="3">
        <f t="shared" si="10"/>
        <v>0.67000000000000015</v>
      </c>
      <c r="D40" s="5">
        <v>455</v>
      </c>
      <c r="E40" s="5">
        <v>27.264019424110902</v>
      </c>
      <c r="F40" s="5">
        <v>30.891339716140699</v>
      </c>
      <c r="G40" s="5">
        <v>29.392255343502001</v>
      </c>
      <c r="H40" s="5"/>
      <c r="I40" s="5">
        <v>3.2159182399685915</v>
      </c>
      <c r="J40" s="5">
        <v>5.0110161613482544</v>
      </c>
      <c r="K40" s="5">
        <v>7.1473169827929013</v>
      </c>
      <c r="M40" s="5">
        <f t="shared" si="20"/>
        <v>3.6099999999999985</v>
      </c>
      <c r="N40" s="18">
        <f t="shared" si="11"/>
        <v>36.966052814822454</v>
      </c>
      <c r="O40" s="5">
        <f t="shared" si="12"/>
        <v>39388.88595401225</v>
      </c>
      <c r="P40" s="5">
        <f t="shared" si="13"/>
        <v>39388.90809225494</v>
      </c>
      <c r="Q40" s="5">
        <f t="shared" si="14"/>
        <v>39388.907007681817</v>
      </c>
      <c r="R40" s="5">
        <f t="shared" si="15"/>
        <v>39388.88912059502</v>
      </c>
      <c r="S40" s="5">
        <f t="shared" si="16"/>
        <v>39388.883930737356</v>
      </c>
      <c r="T40" s="5">
        <f t="shared" si="17"/>
        <v>39388.883152933173</v>
      </c>
      <c r="U40" s="5">
        <f t="shared" si="18"/>
        <v>39388.882578561221</v>
      </c>
      <c r="V40" s="19">
        <f t="shared" si="19"/>
        <v>39388.882578561221</v>
      </c>
      <c r="Y40" s="5">
        <v>455</v>
      </c>
    </row>
    <row r="41" spans="1:25">
      <c r="A41" s="3">
        <f t="shared" si="7"/>
        <v>1.3287671232876712</v>
      </c>
      <c r="B41" s="3">
        <f t="shared" si="10"/>
        <v>0.7250000000000002</v>
      </c>
      <c r="D41" s="5">
        <v>485</v>
      </c>
      <c r="E41" s="5">
        <v>26.290648876928433</v>
      </c>
      <c r="F41" s="5">
        <v>29.163715626425926</v>
      </c>
      <c r="G41" s="5">
        <v>26.988084250643865</v>
      </c>
      <c r="H41" s="5"/>
      <c r="I41" s="5">
        <v>3.192748463215354</v>
      </c>
      <c r="J41" s="5">
        <v>4.9576521595865071</v>
      </c>
      <c r="K41" s="5">
        <v>7.0459608729333763</v>
      </c>
      <c r="M41" s="5">
        <f t="shared" si="20"/>
        <v>4.5799999999999983</v>
      </c>
      <c r="N41" s="18">
        <f t="shared" si="11"/>
        <v>97.51439420705384</v>
      </c>
      <c r="O41" s="5">
        <f t="shared" si="12"/>
        <v>39387.098844346699</v>
      </c>
      <c r="P41" s="5">
        <f t="shared" si="13"/>
        <v>39387.05769516978</v>
      </c>
      <c r="Q41" s="5">
        <f t="shared" si="14"/>
        <v>39387.010108076269</v>
      </c>
      <c r="R41" s="5">
        <f t="shared" si="15"/>
        <v>39386.979577463237</v>
      </c>
      <c r="S41" s="5">
        <f t="shared" si="16"/>
        <v>39386.951566305128</v>
      </c>
      <c r="T41" s="5">
        <f t="shared" si="17"/>
        <v>39386.946559594544</v>
      </c>
      <c r="U41" s="5">
        <f t="shared" si="18"/>
        <v>39386.941534081496</v>
      </c>
      <c r="V41" s="19">
        <f t="shared" si="19"/>
        <v>39386.941534081496</v>
      </c>
      <c r="Y41" s="5">
        <v>485</v>
      </c>
    </row>
    <row r="42" spans="1:25">
      <c r="A42" s="3">
        <f t="shared" si="7"/>
        <v>1.4136986301369863</v>
      </c>
      <c r="B42" s="3">
        <f t="shared" si="10"/>
        <v>0.78000000000000025</v>
      </c>
      <c r="D42" s="5">
        <v>516</v>
      </c>
      <c r="E42" s="5">
        <v>25.321342697436993</v>
      </c>
      <c r="F42" s="5">
        <v>27.479974096457592</v>
      </c>
      <c r="G42" s="5">
        <v>24.710369388673762</v>
      </c>
      <c r="H42" s="5"/>
      <c r="I42" s="5">
        <v>3.1705555638810905</v>
      </c>
      <c r="J42" s="5">
        <v>4.9068075003375808</v>
      </c>
      <c r="K42" s="5">
        <v>6.9497976735918696</v>
      </c>
      <c r="O42" s="5">
        <f>E16/O26</f>
        <v>17.600000000000001</v>
      </c>
      <c r="P42" s="5">
        <f t="shared" ref="P42:U42" si="21">F16/P26</f>
        <v>10.56</v>
      </c>
      <c r="Q42" s="5">
        <f t="shared" si="21"/>
        <v>5.8666666666666663</v>
      </c>
      <c r="R42" s="5">
        <f t="shared" si="21"/>
        <v>4.0615384615384613</v>
      </c>
      <c r="S42" s="5">
        <f t="shared" si="21"/>
        <v>3.1058823529411765</v>
      </c>
      <c r="T42" s="5">
        <f t="shared" si="21"/>
        <v>2.5142857142857142</v>
      </c>
      <c r="U42" s="5">
        <f t="shared" si="21"/>
        <v>2.1120000000000001</v>
      </c>
      <c r="Y42" s="5">
        <v>516</v>
      </c>
    </row>
    <row r="43" spans="1:25">
      <c r="A43" s="3">
        <f t="shared" si="7"/>
        <v>1.4958904109589042</v>
      </c>
      <c r="B43" s="3">
        <f t="shared" si="10"/>
        <v>0.8350000000000003</v>
      </c>
      <c r="D43" s="5">
        <v>546</v>
      </c>
      <c r="E43" s="5">
        <v>24.417398241553109</v>
      </c>
      <c r="F43" s="5">
        <v>25.943194995602671</v>
      </c>
      <c r="G43" s="5">
        <v>22.689083535295428</v>
      </c>
      <c r="H43" s="5"/>
      <c r="I43" s="5">
        <v>3.1505668672349505</v>
      </c>
      <c r="J43" s="5">
        <v>4.8612116377489309</v>
      </c>
      <c r="K43" s="5">
        <v>6.8638487828817265</v>
      </c>
      <c r="N43" s="18"/>
      <c r="O43" s="5" t="str">
        <f>"Xf="&amp;O26</f>
        <v>Xf=150</v>
      </c>
      <c r="P43" s="5" t="str">
        <f>"Xf="&amp;P26</f>
        <v>Xf=250</v>
      </c>
      <c r="Q43" s="5" t="str">
        <f>"Xf="&amp;Q26</f>
        <v>Xf=450</v>
      </c>
      <c r="R43" s="5" t="str">
        <f>"Xf="&amp;R26</f>
        <v>Xf=650</v>
      </c>
      <c r="S43" s="5" t="str">
        <f t="shared" ref="S43:U43" si="22">"Xf="&amp;S26</f>
        <v>Xf=850</v>
      </c>
      <c r="T43" s="5" t="str">
        <f t="shared" si="22"/>
        <v>Xf=1050</v>
      </c>
      <c r="U43" s="5" t="str">
        <f t="shared" si="22"/>
        <v>Xf=1250</v>
      </c>
      <c r="Y43" s="5">
        <v>546</v>
      </c>
    </row>
    <row r="44" spans="1:25">
      <c r="A44" s="3">
        <f t="shared" si="7"/>
        <v>1.5808219178082192</v>
      </c>
      <c r="B44" s="3">
        <f t="shared" si="10"/>
        <v>0.89000000000000035</v>
      </c>
      <c r="D44" s="5">
        <v>577</v>
      </c>
      <c r="E44" s="5">
        <v>23.517116776677987</v>
      </c>
      <c r="F44" s="5">
        <v>24.44541736573272</v>
      </c>
      <c r="G44" s="5">
        <v>20.77417855326982</v>
      </c>
      <c r="H44" s="5"/>
      <c r="I44" s="5">
        <v>3.1312332268173777</v>
      </c>
      <c r="J44" s="5">
        <v>4.8173119293567552</v>
      </c>
      <c r="K44" s="5">
        <v>6.7813513156463543</v>
      </c>
      <c r="N44" s="18">
        <f>N27</f>
        <v>1.2340980408667956E-4</v>
      </c>
      <c r="O44" s="5">
        <f>O27/$V27</f>
        <v>1</v>
      </c>
      <c r="P44" s="5">
        <f>P27/$V27</f>
        <v>1.6307091739684145</v>
      </c>
      <c r="Q44" s="5">
        <f>Q27/$V27</f>
        <v>2.9286118984781253</v>
      </c>
      <c r="R44" s="5">
        <f>R27/$V27</f>
        <v>4.2302798852397583</v>
      </c>
      <c r="S44" s="5">
        <f>S27/$V27</f>
        <v>5.5319043166370578</v>
      </c>
      <c r="T44" s="5">
        <f>T27/$V27</f>
        <v>6.833528926363913</v>
      </c>
      <c r="U44" s="5">
        <f>U27/$V27</f>
        <v>8.1351533179247539</v>
      </c>
      <c r="V44" s="19"/>
      <c r="Y44" s="5">
        <v>577</v>
      </c>
    </row>
    <row r="45" spans="1:25">
      <c r="A45" s="3">
        <f t="shared" si="7"/>
        <v>1.6657534246575343</v>
      </c>
      <c r="B45" s="3">
        <f t="shared" si="10"/>
        <v>0.9450000000000004</v>
      </c>
      <c r="D45" s="5">
        <v>608</v>
      </c>
      <c r="E45" s="5">
        <v>22.650092524198531</v>
      </c>
      <c r="F45" s="5">
        <v>23.034037710729219</v>
      </c>
      <c r="G45" s="5">
        <v>19.020801504665641</v>
      </c>
      <c r="H45" s="5"/>
      <c r="I45" s="5">
        <v>3.1131016912160208</v>
      </c>
      <c r="J45" s="5">
        <v>4.7762765903129232</v>
      </c>
      <c r="K45" s="5">
        <v>6.7044053065520819</v>
      </c>
      <c r="N45" s="18">
        <f>N28</f>
        <v>3.2554820892043796E-4</v>
      </c>
      <c r="O45" s="5">
        <f>O28/$V28</f>
        <v>1</v>
      </c>
      <c r="P45" s="5">
        <f>P28/$V28</f>
        <v>1.5757651858012118</v>
      </c>
      <c r="Q45" s="5">
        <f>Q28/$V28</f>
        <v>2.7772764312371434</v>
      </c>
      <c r="R45" s="5">
        <f>R28/$V28</f>
        <v>4.0073996592108703</v>
      </c>
      <c r="S45" s="5">
        <f>S28/$V28</f>
        <v>5.2403439815695831</v>
      </c>
      <c r="T45" s="5">
        <f>T28/$V28</f>
        <v>6.4733646096420294</v>
      </c>
      <c r="U45" s="5">
        <f>U28/$V28</f>
        <v>7.7063865900560975</v>
      </c>
      <c r="V45" s="19"/>
      <c r="Y45" s="5">
        <v>608</v>
      </c>
    </row>
    <row r="46" spans="1:25">
      <c r="A46" s="3">
        <f t="shared" si="7"/>
        <v>1.747945205479452</v>
      </c>
      <c r="B46" s="3">
        <f t="shared" si="10"/>
        <v>1.0000000000000004</v>
      </c>
      <c r="D46" s="5">
        <v>638</v>
      </c>
      <c r="E46" s="5">
        <v>21.841502933366929</v>
      </c>
      <c r="F46" s="5">
        <v>21.745891440750444</v>
      </c>
      <c r="G46" s="5">
        <v>17.465116613718138</v>
      </c>
      <c r="H46" s="5"/>
      <c r="I46" s="5">
        <v>3.0965628275952892</v>
      </c>
      <c r="J46" s="5">
        <v>4.7389761666957364</v>
      </c>
      <c r="K46" s="5">
        <v>6.6345903753787239</v>
      </c>
      <c r="N46" s="18">
        <f>N29</f>
        <v>8.5877809397433725E-4</v>
      </c>
      <c r="O46" s="5">
        <f>O29/$V29</f>
        <v>1</v>
      </c>
      <c r="P46" s="5">
        <f>P29/$V29</f>
        <v>1.5310218693077016</v>
      </c>
      <c r="Q46" s="5">
        <f>Q29/$V29</f>
        <v>2.5975137075903878</v>
      </c>
      <c r="R46" s="5">
        <f>R29/$V29</f>
        <v>3.703932649976871</v>
      </c>
      <c r="S46" s="5">
        <f>S29/$V29</f>
        <v>4.831753185868628</v>
      </c>
      <c r="T46" s="5">
        <f>T29/$V29</f>
        <v>5.9677201094668151</v>
      </c>
      <c r="U46" s="5">
        <f>U29/$V29</f>
        <v>7.105204524425992</v>
      </c>
      <c r="V46" s="19"/>
      <c r="Y46" s="5">
        <v>638</v>
      </c>
    </row>
    <row r="47" spans="1:25">
      <c r="A47" s="3">
        <f t="shared" si="7"/>
        <v>1.832876712328767</v>
      </c>
      <c r="B47" s="3">
        <f t="shared" si="10"/>
        <v>1.0550000000000004</v>
      </c>
      <c r="D47" s="5">
        <v>669</v>
      </c>
      <c r="E47" s="5">
        <v>21.03622697529827</v>
      </c>
      <c r="F47" s="5">
        <v>20.490427667582239</v>
      </c>
      <c r="G47" s="5">
        <v>15.99108823430041</v>
      </c>
      <c r="H47" s="5"/>
      <c r="I47" s="5">
        <v>3.0803966381962247</v>
      </c>
      <c r="J47" s="5">
        <v>4.7025991953682578</v>
      </c>
      <c r="K47" s="5">
        <v>6.5665376619608216</v>
      </c>
      <c r="N47" s="18">
        <f>N30</f>
        <v>2.265408914814322E-3</v>
      </c>
      <c r="O47" s="5">
        <f>O30/$V30</f>
        <v>1</v>
      </c>
      <c r="P47" s="5">
        <f>P30/$V30</f>
        <v>1.5036833078573151</v>
      </c>
      <c r="Q47" s="5">
        <f>Q30/$V30</f>
        <v>2.465197146007283</v>
      </c>
      <c r="R47" s="5">
        <f>R30/$V30</f>
        <v>3.4296085241639753</v>
      </c>
      <c r="S47" s="5">
        <f>S30/$V30</f>
        <v>4.4178429176126333</v>
      </c>
      <c r="T47" s="5">
        <f>T30/$V30</f>
        <v>5.426802346753024</v>
      </c>
      <c r="U47" s="5">
        <f>U30/$V30</f>
        <v>6.4498279137699841</v>
      </c>
      <c r="V47" s="19"/>
      <c r="Y47" s="5">
        <v>669</v>
      </c>
    </row>
    <row r="48" spans="1:25">
      <c r="A48" s="3">
        <f t="shared" si="7"/>
        <v>1.9150684931506849</v>
      </c>
      <c r="B48" s="3">
        <f t="shared" si="10"/>
        <v>1.1100000000000003</v>
      </c>
      <c r="D48" s="5">
        <v>699</v>
      </c>
      <c r="E48" s="5">
        <v>20.285205863414319</v>
      </c>
      <c r="F48" s="5">
        <v>19.34454670975094</v>
      </c>
      <c r="G48" s="5">
        <v>14.683137787778399</v>
      </c>
      <c r="H48" s="5"/>
      <c r="I48" s="5">
        <v>3.0655608349271111</v>
      </c>
      <c r="J48" s="5">
        <v>4.6692727637627272</v>
      </c>
      <c r="K48" s="5">
        <v>6.5042443664648459</v>
      </c>
      <c r="N48" s="18">
        <f>N31</f>
        <v>5.9760228950059427E-3</v>
      </c>
      <c r="O48" s="5">
        <f>O31/$V31</f>
        <v>1</v>
      </c>
      <c r="P48" s="5">
        <f>P31/$V31</f>
        <v>1.4622970064406817</v>
      </c>
      <c r="Q48" s="5">
        <f>Q31/$V31</f>
        <v>2.344938037728201</v>
      </c>
      <c r="R48" s="5">
        <f>R31/$V31</f>
        <v>3.1923262905454082</v>
      </c>
      <c r="S48" s="5">
        <f>S31/$V31</f>
        <v>4.036681884175966</v>
      </c>
      <c r="T48" s="5">
        <f>T31/$V31</f>
        <v>4.8906553384909417</v>
      </c>
      <c r="U48" s="5">
        <f>U31/$V31</f>
        <v>5.7469479764138338</v>
      </c>
      <c r="V48" s="19"/>
      <c r="Y48" s="5">
        <v>699</v>
      </c>
    </row>
    <row r="49" spans="1:25">
      <c r="A49" s="3">
        <f t="shared" si="7"/>
        <v>2</v>
      </c>
      <c r="B49" s="3">
        <f t="shared" si="10"/>
        <v>1.1650000000000003</v>
      </c>
      <c r="D49" s="5">
        <v>730</v>
      </c>
      <c r="E49" s="5">
        <v>19.53730692228234</v>
      </c>
      <c r="F49" s="5">
        <v>18.227686758603376</v>
      </c>
      <c r="G49" s="5">
        <v>13.44382997630257</v>
      </c>
      <c r="H49" s="5"/>
      <c r="I49" s="5">
        <v>3.0509608058639106</v>
      </c>
      <c r="J49" s="5">
        <v>4.6365529922669504</v>
      </c>
      <c r="K49" s="5">
        <v>6.4430937278322293</v>
      </c>
      <c r="N49" s="18">
        <f>N32</f>
        <v>1.5764416484854486E-2</v>
      </c>
      <c r="O49" s="5">
        <f>O32/$V32</f>
        <v>1</v>
      </c>
      <c r="P49" s="5">
        <f>P32/$V32</f>
        <v>1.3941145403929769</v>
      </c>
      <c r="Q49" s="5">
        <f>Q32/$V32</f>
        <v>2.1703777706084706</v>
      </c>
      <c r="R49" s="5">
        <f>R32/$V32</f>
        <v>2.9161887866634637</v>
      </c>
      <c r="S49" s="5">
        <f>S32/$V32</f>
        <v>3.6369770341344889</v>
      </c>
      <c r="T49" s="5">
        <f>T32/$V32</f>
        <v>4.344951998473781</v>
      </c>
      <c r="U49" s="5">
        <f>U32/$V32</f>
        <v>4.957709476586623</v>
      </c>
      <c r="V49" s="19"/>
      <c r="Y49" s="5">
        <v>730</v>
      </c>
    </row>
    <row r="50" spans="1:25">
      <c r="A50" s="3">
        <f t="shared" si="7"/>
        <v>2.0849315068493151</v>
      </c>
      <c r="B50" s="3">
        <f t="shared" si="10"/>
        <v>1.2200000000000002</v>
      </c>
      <c r="D50" s="5">
        <v>761</v>
      </c>
      <c r="E50" s="5">
        <v>18.817027856337088</v>
      </c>
      <c r="F50" s="5">
        <v>17.17529989211673</v>
      </c>
      <c r="G50" s="5">
        <v>12.309209541893011</v>
      </c>
      <c r="H50" s="5"/>
      <c r="I50" s="5">
        <v>3.0370320811732885</v>
      </c>
      <c r="J50" s="5">
        <v>4.6053993522112222</v>
      </c>
      <c r="K50" s="5">
        <v>6.3848384316547628</v>
      </c>
      <c r="N50" s="18">
        <f>N33</f>
        <v>4.1585655121173147E-2</v>
      </c>
      <c r="O50" s="5">
        <f>O33/$V33</f>
        <v>1</v>
      </c>
      <c r="P50" s="5">
        <f>P33/$V33</f>
        <v>1.3245728906029406</v>
      </c>
      <c r="Q50" s="5">
        <f>Q33/$V33</f>
        <v>1.9566171963628849</v>
      </c>
      <c r="R50" s="5">
        <f>R33/$V33</f>
        <v>2.5808767506443542</v>
      </c>
      <c r="S50" s="5">
        <f>S33/$V33</f>
        <v>3.1827822112767308</v>
      </c>
      <c r="T50" s="5">
        <f>T33/$V33</f>
        <v>3.723929117661096</v>
      </c>
      <c r="U50" s="5">
        <f>U33/$V33</f>
        <v>4.0583768674525134</v>
      </c>
      <c r="V50" s="19"/>
      <c r="Y50" s="5">
        <v>761</v>
      </c>
    </row>
    <row r="51" spans="1:25">
      <c r="A51" s="3">
        <f t="shared" si="7"/>
        <v>2.1616438356164385</v>
      </c>
      <c r="B51" s="3">
        <f t="shared" si="10"/>
        <v>1.2750000000000001</v>
      </c>
      <c r="D51" s="5">
        <v>789</v>
      </c>
      <c r="E51" s="5">
        <v>18.189183636989728</v>
      </c>
      <c r="F51" s="5">
        <v>16.27715193542863</v>
      </c>
      <c r="G51" s="5">
        <v>11.366929124914552</v>
      </c>
      <c r="H51" s="5"/>
      <c r="I51" s="5">
        <v>3.0249778926768998</v>
      </c>
      <c r="J51" s="5">
        <v>4.5784639458760354</v>
      </c>
      <c r="K51" s="5">
        <v>6.3344426252584611</v>
      </c>
      <c r="N51" s="18">
        <f>N34</f>
        <v>0.10970064851551131</v>
      </c>
      <c r="O51" s="5">
        <f>O34/$V34</f>
        <v>1</v>
      </c>
      <c r="P51" s="5">
        <f>P34/$V34</f>
        <v>1.2655519811772273</v>
      </c>
      <c r="Q51" s="5">
        <f>Q34/$V34</f>
        <v>1.7563977830983253</v>
      </c>
      <c r="R51" s="5">
        <f>R34/$V34</f>
        <v>2.223548410276698</v>
      </c>
      <c r="S51" s="5">
        <f>S34/$V34</f>
        <v>2.6518159184704762</v>
      </c>
      <c r="T51" s="5">
        <f>T34/$V34</f>
        <v>2.9869605526524863</v>
      </c>
      <c r="U51" s="5">
        <f>U34/$V34</f>
        <v>3.1353163789539584</v>
      </c>
      <c r="V51" s="19"/>
      <c r="Y51" s="5">
        <v>789</v>
      </c>
    </row>
    <row r="52" spans="1:25">
      <c r="A52" s="3">
        <f t="shared" si="7"/>
        <v>2.2465753424657535</v>
      </c>
      <c r="B52" s="3">
        <f t="shared" si="10"/>
        <v>1.33</v>
      </c>
      <c r="D52" s="5">
        <v>820</v>
      </c>
      <c r="E52" s="5">
        <v>17.518612326125059</v>
      </c>
      <c r="F52" s="5">
        <v>15.337405407257204</v>
      </c>
      <c r="G52" s="5">
        <v>10.40755683486487</v>
      </c>
      <c r="H52" s="5"/>
      <c r="I52" s="5">
        <v>3.0121699246179721</v>
      </c>
      <c r="J52" s="5">
        <v>4.5498362905722267</v>
      </c>
      <c r="K52" s="5">
        <v>6.2808095282857117</v>
      </c>
      <c r="N52" s="18">
        <f>N35</f>
        <v>0.28938421793905039</v>
      </c>
      <c r="O52" s="5">
        <f>O35/$V35</f>
        <v>1</v>
      </c>
      <c r="P52" s="5">
        <f>P35/$V35</f>
        <v>1.2051613006659632</v>
      </c>
      <c r="Q52" s="5">
        <f>Q35/$V35</f>
        <v>1.542586302732645</v>
      </c>
      <c r="R52" s="5">
        <f>R35/$V35</f>
        <v>1.8182630368017083</v>
      </c>
      <c r="S52" s="5">
        <f>S35/$V35</f>
        <v>2.0308135162114564</v>
      </c>
      <c r="T52" s="5">
        <f>T35/$V35</f>
        <v>2.1667054248597646</v>
      </c>
      <c r="U52" s="5">
        <f>U35/$V35</f>
        <v>2.2139430098130402</v>
      </c>
      <c r="V52" s="19"/>
      <c r="Y52" s="5">
        <v>820</v>
      </c>
    </row>
    <row r="53" spans="1:25">
      <c r="A53" s="3">
        <f t="shared" si="7"/>
        <v>2.3287671232876712</v>
      </c>
      <c r="B53" s="3">
        <f t="shared" si="10"/>
        <v>1.385</v>
      </c>
      <c r="D53" s="5">
        <v>850</v>
      </c>
      <c r="E53" s="5">
        <v>16.893200515929923</v>
      </c>
      <c r="F53" s="5">
        <v>14.479679890365531</v>
      </c>
      <c r="G53" s="5">
        <v>9.5563344620447257</v>
      </c>
      <c r="H53" s="5"/>
      <c r="I53" s="5">
        <v>3.0002315149818837</v>
      </c>
      <c r="J53" s="5">
        <v>4.52320351617748</v>
      </c>
      <c r="K53" s="5">
        <v>6.2308640279534062</v>
      </c>
      <c r="N53" s="18">
        <f>N36</f>
        <v>0.76337949433685248</v>
      </c>
      <c r="O53" s="5">
        <f>O36/$V36</f>
        <v>1</v>
      </c>
      <c r="P53" s="5">
        <f>P36/$V36</f>
        <v>1.1180812868384471</v>
      </c>
      <c r="Q53" s="5">
        <f>Q36/$V36</f>
        <v>1.2633901081505901</v>
      </c>
      <c r="R53" s="5">
        <f>R36/$V36</f>
        <v>1.3419374072470598</v>
      </c>
      <c r="S53" s="5">
        <f>S36/$V36</f>
        <v>1.3806754357229674</v>
      </c>
      <c r="T53" s="5">
        <f>T36/$V36</f>
        <v>1.3965822324278618</v>
      </c>
      <c r="U53" s="5">
        <f>U36/$V36</f>
        <v>1.4004890117085151</v>
      </c>
      <c r="V53" s="19"/>
      <c r="Y53" s="5">
        <v>850</v>
      </c>
    </row>
    <row r="54" spans="1:25">
      <c r="A54" s="3">
        <f t="shared" si="7"/>
        <v>2.4136986301369863</v>
      </c>
      <c r="B54" s="3">
        <f t="shared" si="10"/>
        <v>1.44</v>
      </c>
      <c r="D54" s="5">
        <v>881</v>
      </c>
      <c r="E54" s="5">
        <v>16.270383609629899</v>
      </c>
      <c r="F54" s="5">
        <v>13.643716417373007</v>
      </c>
      <c r="G54" s="5">
        <v>8.749809973455994</v>
      </c>
      <c r="H54" s="5"/>
      <c r="I54" s="5">
        <v>2.9883616340594594</v>
      </c>
      <c r="J54" s="5">
        <v>4.496695137891348</v>
      </c>
      <c r="K54" s="5">
        <v>6.1811084048740979</v>
      </c>
      <c r="N54" s="18">
        <f>N37</f>
        <v>2.0137527074704749</v>
      </c>
      <c r="O54" s="5">
        <f>O37/$V37</f>
        <v>1</v>
      </c>
      <c r="P54" s="5">
        <f>P37/$V37</f>
        <v>1.0247393028813514</v>
      </c>
      <c r="Q54" s="5">
        <f>Q37/$V37</f>
        <v>1.0396380524584465</v>
      </c>
      <c r="R54" s="5">
        <f>R37/$V37</f>
        <v>1.0423428191632369</v>
      </c>
      <c r="S54" s="5">
        <f>S37/$V37</f>
        <v>1.0427519310508866</v>
      </c>
      <c r="T54" s="5">
        <f>T37/$V37</f>
        <v>1.0428114065383116</v>
      </c>
      <c r="U54" s="5">
        <f>U37/$V37</f>
        <v>1.0428207114551666</v>
      </c>
      <c r="V54" s="19"/>
      <c r="Y54" s="5">
        <v>881</v>
      </c>
    </row>
    <row r="55" spans="1:25">
      <c r="A55" s="3">
        <f t="shared" si="7"/>
        <v>2.495890410958904</v>
      </c>
      <c r="B55" s="3">
        <f t="shared" si="10"/>
        <v>1.4949999999999999</v>
      </c>
      <c r="D55" s="5">
        <v>911</v>
      </c>
      <c r="E55" s="5">
        <v>15.689520567467179</v>
      </c>
      <c r="F55" s="5">
        <v>12.880711907054303</v>
      </c>
      <c r="G55" s="5">
        <v>8.0341236693657851</v>
      </c>
      <c r="H55" s="5"/>
      <c r="I55" s="5">
        <v>2.9772560019955923</v>
      </c>
      <c r="J55" s="5">
        <v>4.4719248517945216</v>
      </c>
      <c r="K55" s="5">
        <v>6.1345232512536194</v>
      </c>
      <c r="N55" s="18">
        <f>N38</f>
        <v>5.3121677971811616</v>
      </c>
      <c r="O55" s="5">
        <f>O38/$V38</f>
        <v>1</v>
      </c>
      <c r="P55" s="5">
        <f>P38/$V38</f>
        <v>1.0002059877425997</v>
      </c>
      <c r="Q55" s="5">
        <f>Q38/$V38</f>
        <v>1.0002507849016302</v>
      </c>
      <c r="R55" s="5">
        <f>R38/$V38</f>
        <v>1.0002525178458002</v>
      </c>
      <c r="S55" s="5">
        <f>S38/$V38</f>
        <v>1.000246391394682</v>
      </c>
      <c r="T55" s="5">
        <f>T38/$V38</f>
        <v>1.0002429251674825</v>
      </c>
      <c r="U55" s="5">
        <f>U38/$V38</f>
        <v>1.0002420841363753</v>
      </c>
      <c r="V55" s="19"/>
      <c r="Y55" s="5">
        <v>911</v>
      </c>
    </row>
    <row r="56" spans="1:25">
      <c r="A56" s="3">
        <f t="shared" si="7"/>
        <v>2.580821917808219</v>
      </c>
      <c r="B56" s="3">
        <f t="shared" si="10"/>
        <v>1.5499999999999998</v>
      </c>
      <c r="D56" s="5">
        <v>942</v>
      </c>
      <c r="E56" s="5">
        <v>15.111023911491726</v>
      </c>
      <c r="F56" s="5">
        <v>12.137033426773915</v>
      </c>
      <c r="G56" s="5">
        <v>7.3560352499905068</v>
      </c>
      <c r="H56" s="5"/>
      <c r="I56" s="5">
        <v>2.9661429842733305</v>
      </c>
      <c r="J56" s="5">
        <v>4.4471376628103982</v>
      </c>
      <c r="K56" s="5">
        <v>6.0878648685972285</v>
      </c>
      <c r="N56" s="18">
        <f>N39</f>
        <v>14.013203607733596</v>
      </c>
      <c r="O56" s="5">
        <f>O39/$V39</f>
        <v>1.0000035642019529</v>
      </c>
      <c r="P56" s="5">
        <f>P39/$V39</f>
        <v>1</v>
      </c>
      <c r="Q56" s="5">
        <f>Q39/$V39</f>
        <v>1.0000004884188982</v>
      </c>
      <c r="R56" s="5">
        <f>R39/$V39</f>
        <v>1.0000039683883586</v>
      </c>
      <c r="S56" s="5">
        <f>S39/$V39</f>
        <v>1.0000062660450293</v>
      </c>
      <c r="T56" s="5">
        <f>T39/$V39</f>
        <v>1.0000075193502123</v>
      </c>
      <c r="U56" s="5">
        <f>U39/$V39</f>
        <v>1.0000080911093867</v>
      </c>
      <c r="V56" s="19"/>
      <c r="Y56" s="5">
        <v>942</v>
      </c>
    </row>
    <row r="57" spans="1:25">
      <c r="A57" s="3">
        <f t="shared" si="7"/>
        <v>2.6657534246575341</v>
      </c>
      <c r="B57" s="3">
        <f t="shared" si="10"/>
        <v>1.6049999999999998</v>
      </c>
      <c r="D57" s="5">
        <v>973</v>
      </c>
      <c r="E57" s="5">
        <v>14.553928384419899</v>
      </c>
      <c r="F57" s="5">
        <v>11.436380201906415</v>
      </c>
      <c r="G57" s="5">
        <v>6.7351736966166023</v>
      </c>
      <c r="H57" s="5"/>
      <c r="I57" s="5">
        <v>2.9553913529858979</v>
      </c>
      <c r="J57" s="5">
        <v>4.4231252987458891</v>
      </c>
      <c r="K57" s="5">
        <v>6.0425603098972918</v>
      </c>
      <c r="N57" s="18">
        <f>N40</f>
        <v>36.966052814822454</v>
      </c>
      <c r="O57" s="5">
        <f>O40/$V40</f>
        <v>1.0000000856955265</v>
      </c>
      <c r="P57" s="5">
        <f>P40/$V40</f>
        <v>1.0000006477384493</v>
      </c>
      <c r="Q57" s="5">
        <f>Q40/$V40</f>
        <v>1.000000620203443</v>
      </c>
      <c r="R57" s="5">
        <f>R40/$V40</f>
        <v>1.0000001660883318</v>
      </c>
      <c r="S57" s="5">
        <f>S40/$V40</f>
        <v>1.0000000343288777</v>
      </c>
      <c r="T57" s="5">
        <f>T40/$V40</f>
        <v>1.0000000145820829</v>
      </c>
      <c r="U57" s="5">
        <f>U40/$V40</f>
        <v>1</v>
      </c>
      <c r="V57" s="19"/>
      <c r="Y57" s="5">
        <v>973</v>
      </c>
    </row>
    <row r="58" spans="1:25">
      <c r="A58" s="3">
        <f t="shared" si="7"/>
        <v>2.7479452054794522</v>
      </c>
      <c r="B58" s="3">
        <f t="shared" si="10"/>
        <v>1.6599999999999997</v>
      </c>
      <c r="D58" s="5">
        <v>1003</v>
      </c>
      <c r="E58" s="5">
        <v>14.034367057026103</v>
      </c>
      <c r="F58" s="5">
        <v>10.796831585855458</v>
      </c>
      <c r="G58" s="5">
        <v>6.1842604241959966</v>
      </c>
      <c r="H58" s="5"/>
      <c r="I58" s="5">
        <v>2.9452691818010472</v>
      </c>
      <c r="J58" s="5">
        <v>4.4005309970015141</v>
      </c>
      <c r="K58" s="5">
        <v>5.9999010315004613</v>
      </c>
      <c r="N58" s="18">
        <f>N41</f>
        <v>97.51439420705384</v>
      </c>
      <c r="O58" s="5">
        <f>O41/$V41</f>
        <v>1.0000039939700591</v>
      </c>
      <c r="P58" s="5">
        <f>P41/$V41</f>
        <v>1.0000029492284437</v>
      </c>
      <c r="Q58" s="5">
        <f>Q41/$V41</f>
        <v>1.0000017410337565</v>
      </c>
      <c r="R58" s="5">
        <f>R41/$V41</f>
        <v>1.0000009658881919</v>
      </c>
      <c r="S58" s="5">
        <f>S41/$V41</f>
        <v>1.0000002547093845</v>
      </c>
      <c r="T58" s="5">
        <f>T41/$V41</f>
        <v>1.0000001275933812</v>
      </c>
      <c r="U58" s="5">
        <f>U41/$V41</f>
        <v>1</v>
      </c>
      <c r="V58" s="19"/>
      <c r="Y58" s="5">
        <v>1003</v>
      </c>
    </row>
    <row r="59" spans="1:25">
      <c r="A59" s="3">
        <f t="shared" si="7"/>
        <v>2.8328767123287673</v>
      </c>
      <c r="B59" s="3">
        <f t="shared" si="10"/>
        <v>1.7149999999999996</v>
      </c>
      <c r="D59" s="5">
        <v>1034</v>
      </c>
      <c r="E59" s="5">
        <v>13.516897580117297</v>
      </c>
      <c r="F59" s="5">
        <v>10.173507716364346</v>
      </c>
      <c r="G59" s="5">
        <v>5.6622852664123808</v>
      </c>
      <c r="H59" s="5"/>
      <c r="I59" s="5">
        <v>2.9350973410243033</v>
      </c>
      <c r="J59" s="5">
        <v>4.377805966987462</v>
      </c>
      <c r="K59" s="5">
        <v>5.9569035583528622</v>
      </c>
      <c r="Y59" s="5">
        <v>1034</v>
      </c>
    </row>
    <row r="60" spans="1:25">
      <c r="A60" s="3">
        <f t="shared" si="7"/>
        <v>2.9150684931506849</v>
      </c>
      <c r="B60" s="3">
        <f t="shared" si="10"/>
        <v>1.7699999999999996</v>
      </c>
      <c r="D60" s="5">
        <v>1064</v>
      </c>
      <c r="E60" s="5">
        <v>13.034337881029677</v>
      </c>
      <c r="F60" s="5">
        <v>9.6045793227735174</v>
      </c>
      <c r="G60" s="5">
        <v>5.1991328745629044</v>
      </c>
      <c r="H60" s="5"/>
      <c r="I60" s="5">
        <v>2.9254952107671937</v>
      </c>
      <c r="J60" s="5">
        <v>4.3563575399923629</v>
      </c>
      <c r="K60" s="5">
        <v>5.9162736088893331</v>
      </c>
      <c r="Y60" s="5">
        <v>1064</v>
      </c>
    </row>
    <row r="61" spans="1:25">
      <c r="A61" s="3">
        <f t="shared" si="7"/>
        <v>3</v>
      </c>
      <c r="B61" s="3">
        <f t="shared" si="10"/>
        <v>1.8249999999999995</v>
      </c>
      <c r="D61" s="5">
        <v>1095</v>
      </c>
      <c r="E61" s="5">
        <v>12.553726774316683</v>
      </c>
      <c r="F61" s="5">
        <v>9.0500502387940926</v>
      </c>
      <c r="G61" s="5">
        <v>4.7603030091712837</v>
      </c>
      <c r="H61" s="5"/>
      <c r="I61" s="5">
        <v>2.9158131476857467</v>
      </c>
      <c r="J61" s="5">
        <v>4.334716744230894</v>
      </c>
      <c r="K61" s="5">
        <v>5.8752101987180403</v>
      </c>
      <c r="Y61" s="5">
        <v>1095</v>
      </c>
    </row>
    <row r="62" spans="1:25">
      <c r="A62" s="3">
        <f t="shared" si="7"/>
        <v>3.0849315068493151</v>
      </c>
      <c r="B62" s="3">
        <f t="shared" si="10"/>
        <v>1.8799999999999994</v>
      </c>
      <c r="D62" s="5">
        <v>1126</v>
      </c>
      <c r="E62" s="5">
        <v>12.090922146231691</v>
      </c>
      <c r="F62" s="5">
        <v>8.5275522388341809</v>
      </c>
      <c r="G62" s="5">
        <v>4.358380228867123</v>
      </c>
      <c r="H62" s="5"/>
      <c r="I62" s="5">
        <v>2.9063588022257796</v>
      </c>
      <c r="J62" s="5">
        <v>4.3135498965780616</v>
      </c>
      <c r="K62" s="5">
        <v>5.8350174612482455</v>
      </c>
      <c r="Y62" s="5">
        <v>1126</v>
      </c>
    </row>
    <row r="63" spans="1:25">
      <c r="A63" s="3">
        <f t="shared" si="7"/>
        <v>3.1643835616438358</v>
      </c>
      <c r="B63" s="3">
        <f t="shared" si="10"/>
        <v>1.9349999999999994</v>
      </c>
      <c r="D63" s="5">
        <v>1155</v>
      </c>
      <c r="E63" s="5">
        <v>11.673376544814838</v>
      </c>
      <c r="F63" s="5">
        <v>8.0661482129466968</v>
      </c>
      <c r="G63" s="5">
        <v>4.0132344019607089</v>
      </c>
      <c r="H63" s="5"/>
      <c r="I63" s="5">
        <v>2.897691107411716</v>
      </c>
      <c r="J63" s="5">
        <v>4.2941572148473437</v>
      </c>
      <c r="K63" s="5">
        <v>5.7981203243172441</v>
      </c>
      <c r="Y63" s="5">
        <v>1155</v>
      </c>
    </row>
    <row r="64" spans="1:25">
      <c r="A64" s="3">
        <f t="shared" si="7"/>
        <v>3.2493150684931509</v>
      </c>
      <c r="B64" s="3">
        <f t="shared" si="10"/>
        <v>1.9899999999999993</v>
      </c>
      <c r="D64" s="5">
        <v>1186</v>
      </c>
      <c r="E64" s="5">
        <v>11.243015580149297</v>
      </c>
      <c r="F64" s="5">
        <v>7.6004624469840731</v>
      </c>
      <c r="G64" s="5">
        <v>3.6744092615835751</v>
      </c>
      <c r="H64" s="5"/>
      <c r="I64" s="5">
        <v>2.8886039561989589</v>
      </c>
      <c r="J64" s="5">
        <v>4.2738141338386262</v>
      </c>
      <c r="K64" s="5">
        <v>5.7594051088735094</v>
      </c>
      <c r="Y64" s="5">
        <v>1186</v>
      </c>
    </row>
    <row r="65" spans="1:25">
      <c r="A65" s="3">
        <f t="shared" si="7"/>
        <v>3.3315068493150686</v>
      </c>
      <c r="B65" s="3">
        <f t="shared" si="10"/>
        <v>2.0449999999999995</v>
      </c>
      <c r="D65" s="5">
        <v>1216</v>
      </c>
      <c r="E65" s="5">
        <v>10.841669851918301</v>
      </c>
      <c r="F65" s="5">
        <v>7.1754703505067923</v>
      </c>
      <c r="G65" s="5">
        <v>3.3738205056970196</v>
      </c>
      <c r="H65" s="5"/>
      <c r="I65" s="5">
        <v>2.8799725100423106</v>
      </c>
      <c r="J65" s="5">
        <v>4.2544864409125509</v>
      </c>
      <c r="K65" s="5">
        <v>5.7225704639949537</v>
      </c>
      <c r="Y65" s="5">
        <v>1216</v>
      </c>
    </row>
    <row r="66" spans="1:25">
      <c r="A66" s="3">
        <f t="shared" si="7"/>
        <v>3.4164383561643836</v>
      </c>
      <c r="B66" s="3">
        <f t="shared" si="10"/>
        <v>2.0999999999999996</v>
      </c>
      <c r="D66" s="5">
        <v>1247</v>
      </c>
      <c r="E66" s="5">
        <v>10.441951048017982</v>
      </c>
      <c r="F66" s="5">
        <v>6.7612019212836643</v>
      </c>
      <c r="G66" s="5">
        <v>3.0889750094979624</v>
      </c>
      <c r="H66" s="5"/>
      <c r="I66" s="5">
        <v>2.8712185564279507</v>
      </c>
      <c r="J66" s="5">
        <v>4.2348575664734254</v>
      </c>
      <c r="K66" s="5">
        <v>5.685128702598103</v>
      </c>
      <c r="Y66" s="5">
        <v>1247</v>
      </c>
    </row>
    <row r="67" spans="1:25">
      <c r="A67" s="3">
        <f t="shared" si="7"/>
        <v>3.4986301369863013</v>
      </c>
      <c r="B67" s="3">
        <f t="shared" si="10"/>
        <v>2.1549999999999998</v>
      </c>
      <c r="D67" s="5">
        <v>1277</v>
      </c>
      <c r="E67" s="5">
        <v>10.069140290667171</v>
      </c>
      <c r="F67" s="5">
        <v>6.383082115640236</v>
      </c>
      <c r="G67" s="5">
        <v>2.8362181541655298</v>
      </c>
      <c r="H67" s="5"/>
      <c r="I67" s="5">
        <v>2.8628903649049433</v>
      </c>
      <c r="J67" s="5">
        <v>4.2161623602364902</v>
      </c>
      <c r="K67" s="5">
        <v>5.6494518373534701</v>
      </c>
      <c r="Y67" s="5">
        <v>1277</v>
      </c>
    </row>
    <row r="68" spans="1:25">
      <c r="A68" s="3">
        <f t="shared" si="7"/>
        <v>3.5835616438356164</v>
      </c>
      <c r="B68" s="3">
        <f t="shared" si="10"/>
        <v>2.21</v>
      </c>
      <c r="D68" s="5">
        <v>1308</v>
      </c>
      <c r="E68" s="5">
        <v>9.697878680653627</v>
      </c>
      <c r="F68" s="5">
        <v>6.0146120357515098</v>
      </c>
      <c r="G68" s="5">
        <v>2.5966947848294941</v>
      </c>
      <c r="H68" s="5"/>
      <c r="I68" s="5">
        <v>2.8544110290723439</v>
      </c>
      <c r="J68" s="5">
        <v>4.1971473054732318</v>
      </c>
      <c r="K68" s="5">
        <v>5.6131237161945</v>
      </c>
      <c r="Y68" s="5">
        <v>1308</v>
      </c>
    </row>
    <row r="69" spans="1:25">
      <c r="A69" s="3">
        <f t="shared" si="7"/>
        <v>3.6684931506849314</v>
      </c>
      <c r="B69" s="3">
        <f t="shared" si="10"/>
        <v>2.2650000000000001</v>
      </c>
      <c r="D69" s="5">
        <v>1339</v>
      </c>
      <c r="E69" s="5">
        <v>9.340366760454792</v>
      </c>
      <c r="F69" s="5">
        <v>5.6673452740413426</v>
      </c>
      <c r="G69" s="5">
        <v>2.3773295405620294</v>
      </c>
      <c r="H69" s="5"/>
      <c r="I69" s="5">
        <v>2.8460635204144644</v>
      </c>
      <c r="J69" s="5">
        <v>4.17840485729075</v>
      </c>
      <c r="K69" s="5">
        <v>5.5773038507624397</v>
      </c>
      <c r="Y69" s="5">
        <v>1339</v>
      </c>
    </row>
    <row r="70" spans="1:25">
      <c r="A70" s="3">
        <f t="shared" si="7"/>
        <v>3.7506849315068491</v>
      </c>
      <c r="B70" s="3">
        <f t="shared" si="10"/>
        <v>2.3200000000000003</v>
      </c>
      <c r="D70" s="5">
        <v>1369</v>
      </c>
      <c r="E70" s="5">
        <v>9.0068788461119187</v>
      </c>
      <c r="F70" s="5">
        <v>5.3504061081160632</v>
      </c>
      <c r="G70" s="5">
        <v>2.1827402660079867</v>
      </c>
      <c r="H70" s="5"/>
      <c r="I70" s="5">
        <v>2.8380891163160991</v>
      </c>
      <c r="J70" s="5">
        <v>4.1605096445318326</v>
      </c>
      <c r="K70" s="5">
        <v>5.5430999230928828</v>
      </c>
      <c r="Y70" s="5">
        <v>1369</v>
      </c>
    </row>
    <row r="71" spans="1:25">
      <c r="A71" s="3">
        <f t="shared" si="7"/>
        <v>3.8356164383561642</v>
      </c>
      <c r="B71" s="3">
        <f t="shared" si="10"/>
        <v>2.3750000000000004</v>
      </c>
      <c r="D71" s="5">
        <v>1400</v>
      </c>
      <c r="E71" s="5">
        <v>8.6748432635819803</v>
      </c>
      <c r="F71" s="5">
        <v>5.0414792576011829</v>
      </c>
      <c r="G71" s="5">
        <v>1.9983824648863764</v>
      </c>
      <c r="H71" s="5"/>
      <c r="I71" s="5">
        <v>2.8299639723947245</v>
      </c>
      <c r="J71" s="5">
        <v>4.1422599457195535</v>
      </c>
      <c r="K71" s="5">
        <v>5.508192481732336</v>
      </c>
      <c r="Y71" s="5">
        <v>1400</v>
      </c>
    </row>
    <row r="72" spans="1:25">
      <c r="A72" s="3">
        <f t="shared" si="7"/>
        <v>3.9178082191780823</v>
      </c>
      <c r="B72" s="3">
        <f t="shared" si="10"/>
        <v>2.4300000000000006</v>
      </c>
      <c r="D72" s="5">
        <v>1430</v>
      </c>
      <c r="E72" s="5">
        <v>8.365142436068977</v>
      </c>
      <c r="F72" s="5">
        <v>4.7596251861245369</v>
      </c>
      <c r="G72" s="5">
        <v>1.8348180023440732</v>
      </c>
      <c r="H72" s="5"/>
      <c r="I72" s="5">
        <v>2.8222007419174142</v>
      </c>
      <c r="J72" s="5">
        <v>4.1248088771116356</v>
      </c>
      <c r="K72" s="5">
        <v>5.474835583992788</v>
      </c>
      <c r="Y72" s="5">
        <v>1430</v>
      </c>
    </row>
    <row r="73" spans="1:25">
      <c r="A73" s="3">
        <f t="shared" si="7"/>
        <v>4.0027397260273974</v>
      </c>
      <c r="B73" s="3">
        <f t="shared" si="10"/>
        <v>2.4850000000000008</v>
      </c>
      <c r="D73" s="5">
        <v>1461</v>
      </c>
      <c r="E73" s="5">
        <v>8.0567534392239466</v>
      </c>
      <c r="F73" s="5">
        <v>4.4847954031464603</v>
      </c>
      <c r="G73" s="5">
        <v>1.6797582779924385</v>
      </c>
      <c r="H73" s="5"/>
      <c r="I73" s="5">
        <v>2.8142644676531279</v>
      </c>
      <c r="J73" s="5">
        <v>4.1069841652230421</v>
      </c>
      <c r="K73" s="5">
        <v>5.4407405788932151</v>
      </c>
      <c r="Y73" s="5">
        <v>1461</v>
      </c>
    </row>
    <row r="74" spans="1:25">
      <c r="A74" s="3">
        <f t="shared" si="7"/>
        <v>4.087671232876712</v>
      </c>
      <c r="B74" s="3">
        <f t="shared" si="10"/>
        <v>2.5400000000000009</v>
      </c>
      <c r="D74" s="5">
        <v>1492</v>
      </c>
      <c r="E74" s="5">
        <v>7.7596945601487191</v>
      </c>
      <c r="F74" s="5">
        <v>4.2258945810804542</v>
      </c>
      <c r="G74" s="5">
        <v>1.537890495077306</v>
      </c>
      <c r="H74" s="5"/>
      <c r="I74" s="5">
        <v>2.8064246143282436</v>
      </c>
      <c r="J74" s="5">
        <v>4.0893592170300117</v>
      </c>
      <c r="K74" s="5">
        <v>5.4070305561111178</v>
      </c>
      <c r="Y74" s="5">
        <v>1492</v>
      </c>
    </row>
    <row r="75" spans="1:25">
      <c r="A75" s="3">
        <f t="shared" si="7"/>
        <v>4.1643835616438354</v>
      </c>
      <c r="B75" s="3">
        <f t="shared" si="10"/>
        <v>2.5950000000000011</v>
      </c>
      <c r="D75" s="5">
        <v>1520</v>
      </c>
      <c r="E75" s="5">
        <v>7.500814112102324</v>
      </c>
      <c r="F75" s="5">
        <v>4.0048776119307208</v>
      </c>
      <c r="G75" s="5">
        <v>1.4200458680120884</v>
      </c>
      <c r="H75" s="5"/>
      <c r="I75" s="5">
        <v>2.7994076625558062</v>
      </c>
      <c r="J75" s="5">
        <v>4.0736011929513944</v>
      </c>
      <c r="K75" s="5">
        <v>5.3769049603002079</v>
      </c>
      <c r="Y75" s="5">
        <v>1520</v>
      </c>
    </row>
    <row r="76" spans="1:25">
      <c r="A76" s="3">
        <f t="shared" si="7"/>
        <v>4.2493150684931509</v>
      </c>
      <c r="B76" s="3">
        <f t="shared" si="10"/>
        <v>2.6500000000000012</v>
      </c>
      <c r="D76" s="5">
        <v>1551</v>
      </c>
      <c r="E76" s="5">
        <v>7.2243067924053594</v>
      </c>
      <c r="F76" s="5">
        <v>3.7736524418641046</v>
      </c>
      <c r="G76" s="5">
        <v>1.30003936946509</v>
      </c>
      <c r="H76" s="5"/>
      <c r="I76" s="5">
        <v>2.7917143948173693</v>
      </c>
      <c r="J76" s="5">
        <v>4.0563214541161594</v>
      </c>
      <c r="K76" s="5">
        <v>5.3438670827905099</v>
      </c>
      <c r="Y76" s="5">
        <v>1551</v>
      </c>
    </row>
    <row r="77" spans="1:25">
      <c r="A77" s="3">
        <f t="shared" si="7"/>
        <v>4.3315068493150681</v>
      </c>
      <c r="B77" s="3">
        <f t="shared" si="10"/>
        <v>2.7050000000000014</v>
      </c>
      <c r="D77" s="5">
        <v>1581</v>
      </c>
      <c r="E77" s="5">
        <v>6.9663744216036614</v>
      </c>
      <c r="F77" s="5">
        <v>3.5625639545789256</v>
      </c>
      <c r="G77" s="5">
        <v>1.1934371423020445</v>
      </c>
      <c r="H77" s="5"/>
      <c r="I77" s="5">
        <v>2.7843420381265283</v>
      </c>
      <c r="J77" s="5">
        <v>4.0397525637506302</v>
      </c>
      <c r="K77" s="5">
        <v>5.3122096043650542</v>
      </c>
      <c r="Y77" s="5">
        <v>1581</v>
      </c>
    </row>
    <row r="78" spans="1:25">
      <c r="A78" s="3">
        <f t="shared" si="7"/>
        <v>4.4164383561643836</v>
      </c>
      <c r="B78" s="3">
        <f t="shared" si="10"/>
        <v>2.7600000000000016</v>
      </c>
      <c r="D78" s="5">
        <v>1612</v>
      </c>
      <c r="E78" s="5">
        <v>6.7095278631748441</v>
      </c>
      <c r="F78" s="5">
        <v>3.356851879388544</v>
      </c>
      <c r="G78" s="5">
        <v>1.0925547802827096</v>
      </c>
      <c r="H78" s="5"/>
      <c r="I78" s="5">
        <v>2.7767948751135818</v>
      </c>
      <c r="J78" s="5">
        <v>4.0227875467038814</v>
      </c>
      <c r="K78" s="5">
        <v>5.2798190754847099</v>
      </c>
      <c r="Y78" s="5">
        <v>1612</v>
      </c>
    </row>
    <row r="79" spans="1:25">
      <c r="A79" s="3">
        <f t="shared" si="7"/>
        <v>4.4986301369863018</v>
      </c>
      <c r="B79" s="3">
        <f t="shared" si="10"/>
        <v>2.8150000000000017</v>
      </c>
      <c r="D79" s="5">
        <v>1642</v>
      </c>
      <c r="E79" s="5">
        <v>6.4700287315596769</v>
      </c>
      <c r="F79" s="5">
        <v>3.1691078142151543</v>
      </c>
      <c r="G79" s="5">
        <v>1.003024671161642</v>
      </c>
      <c r="H79" s="5"/>
      <c r="I79" s="5">
        <v>2.7695511112270763</v>
      </c>
      <c r="J79" s="5">
        <v>4.0065126653528003</v>
      </c>
      <c r="K79" s="5">
        <v>5.2487568368755824</v>
      </c>
      <c r="Y79" s="5">
        <v>1642</v>
      </c>
    </row>
    <row r="80" spans="1:25">
      <c r="A80" s="3">
        <f t="shared" si="7"/>
        <v>4.5835616438356164</v>
      </c>
      <c r="B80" s="3">
        <f t="shared" si="10"/>
        <v>2.8700000000000019</v>
      </c>
      <c r="D80" s="5">
        <v>1673</v>
      </c>
      <c r="E80" s="5">
        <v>6.2314663389066904</v>
      </c>
      <c r="F80" s="5">
        <v>2.9861233972004753</v>
      </c>
      <c r="G80" s="5">
        <v>0.91824859156056338</v>
      </c>
      <c r="H80" s="5"/>
      <c r="I80" s="5">
        <v>2.7621234600656597</v>
      </c>
      <c r="J80" s="5">
        <v>3.9898362852219313</v>
      </c>
      <c r="K80" s="5">
        <v>5.2169365503789349</v>
      </c>
      <c r="Y80" s="5">
        <v>1673</v>
      </c>
    </row>
    <row r="81" spans="1:25">
      <c r="A81" s="3">
        <f t="shared" si="7"/>
        <v>4.6684931506849319</v>
      </c>
      <c r="B81" s="3">
        <f t="shared" si="10"/>
        <v>2.925000000000002</v>
      </c>
      <c r="D81" s="5">
        <v>1704</v>
      </c>
      <c r="E81" s="5">
        <v>6.0017322312649979</v>
      </c>
      <c r="F81" s="5">
        <v>2.8136674070986105</v>
      </c>
      <c r="G81" s="5">
        <v>0.84053373067001258</v>
      </c>
      <c r="H81" s="5"/>
      <c r="I81" s="5">
        <v>2.7547466010718877</v>
      </c>
      <c r="J81" s="5">
        <v>3.9732899157652808</v>
      </c>
      <c r="K81" s="5">
        <v>5.1854000426940594</v>
      </c>
      <c r="Y81" s="5">
        <v>1704</v>
      </c>
    </row>
    <row r="82" spans="1:25">
      <c r="A82" s="3">
        <f t="shared" si="7"/>
        <v>4.7506849315068491</v>
      </c>
      <c r="B82" s="3">
        <f t="shared" si="10"/>
        <v>2.9800000000000022</v>
      </c>
      <c r="D82" s="5">
        <v>1734</v>
      </c>
      <c r="E82" s="5">
        <v>5.7874875192948236</v>
      </c>
      <c r="F82" s="5">
        <v>2.6562935511546657</v>
      </c>
      <c r="G82" s="5">
        <v>0.77173997927749394</v>
      </c>
      <c r="H82" s="5"/>
      <c r="I82" s="5">
        <v>2.7476674597685187</v>
      </c>
      <c r="J82" s="5">
        <v>3.9574027673748353</v>
      </c>
      <c r="K82" s="5">
        <v>5.1551418895781937</v>
      </c>
      <c r="Y82" s="5">
        <v>1734</v>
      </c>
    </row>
    <row r="83" spans="1:25">
      <c r="A83" s="3">
        <f t="shared" si="7"/>
        <v>4.8356164383561646</v>
      </c>
      <c r="B83" s="3">
        <f t="shared" si="10"/>
        <v>3.0350000000000024</v>
      </c>
      <c r="D83" s="5">
        <v>1765</v>
      </c>
      <c r="E83" s="5">
        <v>5.5740997164835537</v>
      </c>
      <c r="F83" s="5">
        <v>2.5028770172707482</v>
      </c>
      <c r="G83" s="5">
        <v>0.70648513241059052</v>
      </c>
      <c r="H83" s="5"/>
      <c r="I83" s="5">
        <v>2.7404010932090803</v>
      </c>
      <c r="J83" s="5">
        <v>3.9411046292109631</v>
      </c>
      <c r="K83" s="5">
        <v>5.1241275063644443</v>
      </c>
      <c r="Y83" s="5">
        <v>1765</v>
      </c>
    </row>
    <row r="84" spans="1:25">
      <c r="A84" s="3">
        <f t="shared" si="7"/>
        <v>4.9178082191780819</v>
      </c>
      <c r="B84" s="3">
        <f t="shared" si="10"/>
        <v>3.0900000000000025</v>
      </c>
      <c r="D84" s="5">
        <v>1795</v>
      </c>
      <c r="E84" s="5">
        <v>5.3751183652270509</v>
      </c>
      <c r="F84" s="5">
        <v>2.3628897046700015</v>
      </c>
      <c r="G84" s="5">
        <v>0.64861374952879425</v>
      </c>
      <c r="H84" s="5"/>
      <c r="I84" s="5">
        <v>2.7334131926630447</v>
      </c>
      <c r="J84" s="5">
        <v>3.9254434870745434</v>
      </c>
      <c r="K84" s="5">
        <v>5.0943560675072659</v>
      </c>
      <c r="Y84" s="5">
        <v>1795</v>
      </c>
    </row>
    <row r="85" spans="1:25">
      <c r="A85" s="3">
        <f t="shared" si="7"/>
        <v>5.0027397260273974</v>
      </c>
      <c r="B85" s="3">
        <f t="shared" si="10"/>
        <v>3.1450000000000027</v>
      </c>
      <c r="D85" s="5">
        <v>1826</v>
      </c>
      <c r="E85" s="5">
        <v>5.1769686420323318</v>
      </c>
      <c r="F85" s="5">
        <v>2.2264282095462784</v>
      </c>
      <c r="G85" s="5">
        <v>0.59374890901086175</v>
      </c>
      <c r="H85" s="5"/>
      <c r="I85" s="5">
        <v>2.7262354699265203</v>
      </c>
      <c r="J85" s="5">
        <v>3.9093743621262353</v>
      </c>
      <c r="K85" s="5">
        <v>5.0638174690350981</v>
      </c>
      <c r="Y85" s="5">
        <v>1826</v>
      </c>
    </row>
    <row r="86" spans="1:25">
      <c r="A86" s="3">
        <f t="shared" si="7"/>
        <v>5.087671232876712</v>
      </c>
      <c r="B86" s="3">
        <f t="shared" si="10"/>
        <v>3.2000000000000028</v>
      </c>
      <c r="D86" s="5">
        <v>1857</v>
      </c>
      <c r="E86" s="5">
        <v>4.9861502127757964</v>
      </c>
      <c r="F86" s="5">
        <v>2.097842343018137</v>
      </c>
      <c r="G86" s="5">
        <v>0.54358616083309197</v>
      </c>
      <c r="H86" s="5"/>
      <c r="I86" s="5">
        <v>2.7191105789881593</v>
      </c>
      <c r="J86" s="5">
        <v>3.8934154538608641</v>
      </c>
      <c r="K86" s="5">
        <v>5.0335399570657664</v>
      </c>
      <c r="Y86" s="5">
        <v>1857</v>
      </c>
    </row>
    <row r="87" spans="1:25">
      <c r="A87" s="3">
        <f t="shared" si="7"/>
        <v>5.1643835616438354</v>
      </c>
      <c r="B87" s="3">
        <f t="shared" si="10"/>
        <v>3.255000000000003</v>
      </c>
      <c r="D87" s="5">
        <v>1885</v>
      </c>
      <c r="E87" s="5">
        <v>4.8197731071680252</v>
      </c>
      <c r="F87" s="5">
        <v>1.9880948266665917</v>
      </c>
      <c r="G87" s="5">
        <v>0.50189332034645584</v>
      </c>
      <c r="H87" s="5"/>
      <c r="I87" s="5">
        <v>2.7127025212450526</v>
      </c>
      <c r="J87" s="5">
        <v>3.8790839239484383</v>
      </c>
      <c r="K87" s="5">
        <v>5.006386760008553</v>
      </c>
      <c r="Y87" s="5">
        <v>1885</v>
      </c>
    </row>
    <row r="88" spans="1:25">
      <c r="A88" s="3">
        <f t="shared" si="7"/>
        <v>5.2493150684931509</v>
      </c>
      <c r="B88" s="3">
        <f t="shared" si="10"/>
        <v>3.3100000000000032</v>
      </c>
      <c r="D88" s="5">
        <v>1916</v>
      </c>
      <c r="E88" s="5">
        <v>4.6420434765037095</v>
      </c>
      <c r="F88" s="5">
        <v>1.8731688062475564</v>
      </c>
      <c r="G88" s="5">
        <v>0.45932936210513664</v>
      </c>
      <c r="H88" s="5"/>
      <c r="I88" s="5">
        <v>2.7056542130402343</v>
      </c>
      <c r="J88" s="5">
        <v>3.8633143584525884</v>
      </c>
      <c r="K88" s="5">
        <v>4.9765341731941568</v>
      </c>
      <c r="Y88" s="5">
        <v>1916</v>
      </c>
    </row>
    <row r="89" spans="1:25">
      <c r="A89" s="3">
        <f t="shared" si="7"/>
        <v>5.3315068493150681</v>
      </c>
      <c r="B89" s="3">
        <f t="shared" si="10"/>
        <v>3.3650000000000033</v>
      </c>
      <c r="D89" s="5">
        <v>1946</v>
      </c>
      <c r="E89" s="5">
        <v>4.4763559804737945</v>
      </c>
      <c r="F89" s="5">
        <v>1.7683939032438654</v>
      </c>
      <c r="G89" s="5">
        <v>0.42177844392721214</v>
      </c>
      <c r="H89" s="5"/>
      <c r="I89" s="5">
        <v>2.6988672874963782</v>
      </c>
      <c r="J89" s="5">
        <v>3.8481470778804741</v>
      </c>
      <c r="K89" s="5">
        <v>4.9478594941239935</v>
      </c>
      <c r="Y89" s="5">
        <v>1946</v>
      </c>
    </row>
    <row r="90" spans="1:25">
      <c r="A90" s="3">
        <f t="shared" ref="A90:A106" si="23">D90/365</f>
        <v>5.4164383561643836</v>
      </c>
      <c r="B90" s="3">
        <f t="shared" si="10"/>
        <v>3.4200000000000035</v>
      </c>
      <c r="D90" s="5">
        <v>1977</v>
      </c>
      <c r="E90" s="5">
        <v>4.3112993458907338</v>
      </c>
      <c r="F90" s="5">
        <v>1.6662358895046996</v>
      </c>
      <c r="G90" s="5">
        <v>0.38611365646213058</v>
      </c>
      <c r="H90" s="5"/>
      <c r="I90" s="5">
        <v>2.6918851725731501</v>
      </c>
      <c r="J90" s="5">
        <v>3.8325643895606114</v>
      </c>
      <c r="K90" s="5">
        <v>4.9184254711470841</v>
      </c>
      <c r="Y90" s="5">
        <v>1977</v>
      </c>
    </row>
    <row r="91" spans="1:25">
      <c r="A91" s="3">
        <f t="shared" si="23"/>
        <v>5.4986301369863018</v>
      </c>
      <c r="B91" s="3">
        <f t="shared" si="10"/>
        <v>3.4750000000000036</v>
      </c>
      <c r="D91" s="5">
        <v>2007</v>
      </c>
      <c r="E91" s="5">
        <v>4.1574379299084887</v>
      </c>
      <c r="F91" s="5">
        <v>1.573012032403839</v>
      </c>
      <c r="G91" s="5">
        <v>0.35447019659479961</v>
      </c>
      <c r="H91" s="5"/>
      <c r="I91" s="5">
        <v>2.6851628835298804</v>
      </c>
      <c r="J91" s="5">
        <v>3.8175719890518502</v>
      </c>
      <c r="K91" s="5">
        <v>4.8901586673969195</v>
      </c>
      <c r="Y91" s="5">
        <v>2007</v>
      </c>
    </row>
    <row r="92" spans="1:25">
      <c r="A92" s="3">
        <f t="shared" si="23"/>
        <v>5.5835616438356164</v>
      </c>
      <c r="B92" s="3">
        <f t="shared" ref="B92:B106" si="24">B91+$B$24</f>
        <v>3.5300000000000038</v>
      </c>
      <c r="D92" s="5">
        <v>2038</v>
      </c>
      <c r="E92" s="5">
        <v>4.0041612392994086</v>
      </c>
      <c r="F92" s="5">
        <v>1.4820803135030707</v>
      </c>
      <c r="G92" s="5">
        <v>0.32456194775558345</v>
      </c>
      <c r="H92" s="5"/>
      <c r="I92" s="5">
        <v>2.6782585803929857</v>
      </c>
      <c r="J92" s="5">
        <v>3.8021642391903985</v>
      </c>
      <c r="K92" s="5">
        <v>4.8611320530732476</v>
      </c>
      <c r="Y92" s="5">
        <v>2038</v>
      </c>
    </row>
    <row r="93" spans="1:25">
      <c r="A93" s="3">
        <f t="shared" si="23"/>
        <v>5.6684931506849319</v>
      </c>
      <c r="B93" s="3">
        <f t="shared" si="24"/>
        <v>3.585000000000004</v>
      </c>
      <c r="D93" s="5">
        <v>2069</v>
      </c>
      <c r="E93" s="5">
        <v>3.8565437320009934</v>
      </c>
      <c r="F93" s="5">
        <v>1.3965327221682642</v>
      </c>
      <c r="G93" s="5">
        <v>0.2972706108093206</v>
      </c>
      <c r="H93" s="5"/>
      <c r="I93" s="5">
        <v>2.6713732585988028</v>
      </c>
      <c r="J93" s="5">
        <v>3.7868485027442467</v>
      </c>
      <c r="K93" s="5">
        <v>4.8323218880858079</v>
      </c>
      <c r="Y93" s="5">
        <v>2069</v>
      </c>
    </row>
    <row r="94" spans="1:25">
      <c r="A94" s="3">
        <f t="shared" si="23"/>
        <v>5.7506849315068491</v>
      </c>
      <c r="B94" s="3">
        <f t="shared" si="24"/>
        <v>3.6400000000000041</v>
      </c>
      <c r="D94" s="5">
        <v>2099</v>
      </c>
      <c r="E94" s="5">
        <v>3.7188793363769483</v>
      </c>
      <c r="F94" s="5">
        <v>1.3183776023729785</v>
      </c>
      <c r="G94" s="5">
        <v>0.27296804776796141</v>
      </c>
      <c r="H94" s="5"/>
      <c r="I94" s="5">
        <v>2.6647453846013462</v>
      </c>
      <c r="J94" s="5">
        <v>3.7721010822894137</v>
      </c>
      <c r="K94" s="5">
        <v>4.8046221137156762</v>
      </c>
      <c r="Y94" s="5">
        <v>2099</v>
      </c>
    </row>
    <row r="95" spans="1:25">
      <c r="A95" s="3">
        <f t="shared" si="23"/>
        <v>5.8356164383561646</v>
      </c>
      <c r="B95" s="3">
        <f t="shared" si="24"/>
        <v>3.6950000000000043</v>
      </c>
      <c r="D95" s="5">
        <v>2130</v>
      </c>
      <c r="E95" s="5">
        <v>3.5818159145717936</v>
      </c>
      <c r="F95" s="5">
        <v>1.2422026348211248</v>
      </c>
      <c r="G95" s="5">
        <v>0.25001801426839321</v>
      </c>
      <c r="H95" s="5"/>
      <c r="I95" s="5">
        <v>2.6579246699730783</v>
      </c>
      <c r="J95" s="5">
        <v>3.7569451773435811</v>
      </c>
      <c r="K95" s="5">
        <v>4.7761945879885426</v>
      </c>
      <c r="Y95" s="5">
        <v>2130</v>
      </c>
    </row>
    <row r="96" spans="1:25">
      <c r="A96" s="3">
        <f t="shared" si="23"/>
        <v>5.9178082191780819</v>
      </c>
      <c r="B96" s="3">
        <f t="shared" si="24"/>
        <v>3.7500000000000044</v>
      </c>
      <c r="D96" s="5">
        <v>2160</v>
      </c>
      <c r="E96" s="5">
        <v>3.4538838078141394</v>
      </c>
      <c r="F96" s="5">
        <v>1.1725861543047815</v>
      </c>
      <c r="G96" s="5">
        <v>0.22940595470164937</v>
      </c>
      <c r="H96" s="5"/>
      <c r="I96" s="5">
        <v>2.6513535022955463</v>
      </c>
      <c r="J96" s="5">
        <v>3.7423476941705514</v>
      </c>
      <c r="K96" s="5">
        <v>4.7488523421530875</v>
      </c>
      <c r="Y96" s="5">
        <v>2160</v>
      </c>
    </row>
    <row r="97" spans="1:25">
      <c r="A97" s="3">
        <f t="shared" si="23"/>
        <v>6.0027397260273974</v>
      </c>
      <c r="B97" s="3">
        <f t="shared" si="24"/>
        <v>3.8050000000000046</v>
      </c>
      <c r="D97" s="5">
        <v>2191</v>
      </c>
      <c r="E97" s="5">
        <v>3.3265645916228053</v>
      </c>
      <c r="F97" s="5">
        <v>1.1048244630996622</v>
      </c>
      <c r="G97" s="5">
        <v>0.21011693016624422</v>
      </c>
      <c r="H97" s="5"/>
      <c r="I97" s="5">
        <v>2.644589587326041</v>
      </c>
      <c r="J97" s="5">
        <v>3.7273456179653199</v>
      </c>
      <c r="K97" s="5">
        <v>4.7208019054265336</v>
      </c>
      <c r="Y97" s="5">
        <v>2191</v>
      </c>
    </row>
    <row r="98" spans="1:25">
      <c r="A98" s="3">
        <f t="shared" si="23"/>
        <v>6.087671232876712</v>
      </c>
      <c r="B98" s="3">
        <f t="shared" si="24"/>
        <v>3.8600000000000048</v>
      </c>
      <c r="D98" s="5">
        <v>2222</v>
      </c>
      <c r="E98" s="5">
        <v>3.2038854621755362</v>
      </c>
      <c r="F98" s="5">
        <v>1.0408992690507806</v>
      </c>
      <c r="G98" s="5">
        <v>0.19243001130718121</v>
      </c>
      <c r="H98" s="5"/>
      <c r="I98" s="5">
        <v>2.6378563610034296</v>
      </c>
      <c r="J98" s="5">
        <v>3.7124206385978042</v>
      </c>
      <c r="K98" s="5">
        <v>4.6929215733147016</v>
      </c>
      <c r="Y98" s="5">
        <v>2222</v>
      </c>
    </row>
    <row r="99" spans="1:25">
      <c r="A99" s="3">
        <f t="shared" si="23"/>
        <v>6.1643835616438354</v>
      </c>
      <c r="B99" s="3">
        <f t="shared" si="24"/>
        <v>3.9150000000000049</v>
      </c>
      <c r="D99" s="5">
        <v>2250</v>
      </c>
      <c r="E99" s="5">
        <v>3.0969499515906365</v>
      </c>
      <c r="F99" s="5">
        <v>0.98636785965662466</v>
      </c>
      <c r="G99" s="5">
        <v>0.17763048297188802</v>
      </c>
      <c r="H99" s="5"/>
      <c r="I99" s="5">
        <v>2.6317934825428799</v>
      </c>
      <c r="J99" s="5">
        <v>3.6989921092645393</v>
      </c>
      <c r="K99" s="5">
        <v>4.6678974776884052</v>
      </c>
      <c r="Y99" s="5">
        <v>2250</v>
      </c>
    </row>
    <row r="100" spans="1:25">
      <c r="A100" s="3">
        <f t="shared" si="23"/>
        <v>6.2493150684931509</v>
      </c>
      <c r="B100" s="3">
        <f t="shared" si="24"/>
        <v>3.9700000000000051</v>
      </c>
      <c r="D100" s="5">
        <v>2281</v>
      </c>
      <c r="E100" s="5">
        <v>2.982776766017833</v>
      </c>
      <c r="F100" s="5">
        <v>0.92931213142914626</v>
      </c>
      <c r="G100" s="5">
        <v>0.16266940288202134</v>
      </c>
      <c r="H100" s="5"/>
      <c r="I100" s="5">
        <v>2.6251035876305662</v>
      </c>
      <c r="J100" s="5">
        <v>3.6842047158010085</v>
      </c>
      <c r="K100" s="5">
        <v>4.6403635693952534</v>
      </c>
      <c r="Y100" s="5">
        <v>2281</v>
      </c>
    </row>
    <row r="101" spans="1:25">
      <c r="A101" s="3">
        <f t="shared" si="23"/>
        <v>6.3315068493150681</v>
      </c>
      <c r="B101" s="3">
        <f t="shared" si="24"/>
        <v>4.0250000000000048</v>
      </c>
      <c r="D101" s="5">
        <v>2311</v>
      </c>
      <c r="E101" s="5">
        <v>2.8763093257044878</v>
      </c>
      <c r="F101" s="5">
        <v>0.87725289447838239</v>
      </c>
      <c r="G101" s="5">
        <v>0.14941202558542049</v>
      </c>
      <c r="H101" s="5"/>
      <c r="I101" s="5">
        <v>2.6186561559561121</v>
      </c>
      <c r="J101" s="5">
        <v>3.6699585287312471</v>
      </c>
      <c r="K101" s="5">
        <v>4.6138872750111828</v>
      </c>
      <c r="Y101" s="5">
        <v>2311</v>
      </c>
    </row>
    <row r="102" spans="1:25">
      <c r="A102" s="3">
        <f t="shared" si="23"/>
        <v>6.4164383561643836</v>
      </c>
      <c r="B102" s="3">
        <f t="shared" si="24"/>
        <v>4.0800000000000045</v>
      </c>
      <c r="D102" s="5">
        <v>2342</v>
      </c>
      <c r="E102" s="5">
        <v>2.7702101784885409</v>
      </c>
      <c r="F102" s="5">
        <v>0.82648692280453273</v>
      </c>
      <c r="G102" s="5">
        <v>0.13683663640634541</v>
      </c>
      <c r="H102" s="5"/>
      <c r="I102" s="5">
        <v>2.6120185795194968</v>
      </c>
      <c r="J102" s="5">
        <v>3.6553057746349209</v>
      </c>
      <c r="K102" s="5">
        <v>4.5867014469239402</v>
      </c>
      <c r="Y102" s="5">
        <v>2342</v>
      </c>
    </row>
    <row r="103" spans="1:25">
      <c r="A103" s="3">
        <f t="shared" si="23"/>
        <v>6.4986301369863018</v>
      </c>
      <c r="B103" s="3">
        <f t="shared" si="24"/>
        <v>4.1350000000000042</v>
      </c>
      <c r="D103" s="5">
        <v>2372</v>
      </c>
      <c r="E103" s="5">
        <v>2.6713626721149546</v>
      </c>
      <c r="F103" s="5">
        <v>0.7803740459295555</v>
      </c>
      <c r="G103" s="5">
        <v>0.12595822978878729</v>
      </c>
      <c r="H103" s="5"/>
      <c r="I103" s="5">
        <v>2.6056106597960875</v>
      </c>
      <c r="J103" s="5">
        <v>3.6411938066195977</v>
      </c>
      <c r="K103" s="5">
        <v>4.5605510748791751</v>
      </c>
      <c r="Y103" s="5">
        <v>2372</v>
      </c>
    </row>
    <row r="104" spans="1:25">
      <c r="A104" s="3">
        <f t="shared" si="23"/>
        <v>6.5835616438356164</v>
      </c>
      <c r="B104" s="3">
        <f t="shared" si="24"/>
        <v>4.1900000000000039</v>
      </c>
      <c r="D104" s="5">
        <v>2403</v>
      </c>
      <c r="E104" s="5">
        <v>2.5728984750637185</v>
      </c>
      <c r="F104" s="5">
        <v>0.73522079317475975</v>
      </c>
      <c r="G104" s="5">
        <v>0.11545469208986107</v>
      </c>
      <c r="H104" s="5"/>
      <c r="I104" s="5">
        <v>2.5990195354083037</v>
      </c>
      <c r="J104" s="5">
        <v>3.6266767281079195</v>
      </c>
      <c r="K104" s="5">
        <v>4.5336979752824424</v>
      </c>
      <c r="Y104" s="5">
        <v>2403</v>
      </c>
    </row>
    <row r="105" spans="1:25">
      <c r="A105" s="3">
        <f t="shared" si="23"/>
        <v>6.6684931506849319</v>
      </c>
      <c r="B105" s="3">
        <f t="shared" si="24"/>
        <v>4.2450000000000037</v>
      </c>
      <c r="D105" s="5">
        <v>2434</v>
      </c>
      <c r="E105" s="5">
        <v>2.4780419803654872</v>
      </c>
      <c r="F105" s="5">
        <v>0.69269282215708183</v>
      </c>
      <c r="G105" s="5">
        <v>0.10581710093263587</v>
      </c>
      <c r="H105" s="5"/>
      <c r="I105" s="5">
        <v>2.5924450464535083</v>
      </c>
      <c r="J105" s="5">
        <v>3.6122257679708758</v>
      </c>
      <c r="K105" s="5">
        <v>4.5070170005939314</v>
      </c>
      <c r="Y105" s="5">
        <v>2434</v>
      </c>
    </row>
    <row r="106" spans="1:25">
      <c r="A106" s="3">
        <f t="shared" si="23"/>
        <v>6.7506849315068491</v>
      </c>
      <c r="B106" s="3">
        <f t="shared" si="24"/>
        <v>4.3000000000000034</v>
      </c>
      <c r="D106" s="5">
        <v>2464</v>
      </c>
      <c r="E106" s="5">
        <v>2.3895823061603481</v>
      </c>
      <c r="F106" s="5">
        <v>0.65390116956973998</v>
      </c>
      <c r="G106" s="5">
        <v>9.7293114795229438E-2</v>
      </c>
      <c r="H106" s="5"/>
      <c r="I106" s="5">
        <v>2.5861085469317473</v>
      </c>
      <c r="J106" s="5">
        <v>3.5983025957753938</v>
      </c>
      <c r="K106" s="5">
        <v>4.4813511324767008</v>
      </c>
      <c r="Y106" s="5">
        <v>2464</v>
      </c>
    </row>
    <row r="107" spans="1:25">
      <c r="D107">
        <v>2495</v>
      </c>
      <c r="Y107">
        <v>2495</v>
      </c>
    </row>
    <row r="108" spans="1:25">
      <c r="D108">
        <v>2525</v>
      </c>
      <c r="Y108">
        <v>2525</v>
      </c>
    </row>
    <row r="109" spans="1:25">
      <c r="D109">
        <v>2556</v>
      </c>
      <c r="Y109">
        <v>2556</v>
      </c>
    </row>
    <row r="110" spans="1:25">
      <c r="D110">
        <v>2587</v>
      </c>
      <c r="Y110">
        <v>2587</v>
      </c>
    </row>
    <row r="111" spans="1:25">
      <c r="D111">
        <v>2616</v>
      </c>
      <c r="Y111">
        <v>2616</v>
      </c>
    </row>
    <row r="112" spans="1:25">
      <c r="D112">
        <v>2647</v>
      </c>
      <c r="Y112">
        <v>2647</v>
      </c>
    </row>
    <row r="113" spans="4:25">
      <c r="D113">
        <v>2677</v>
      </c>
      <c r="Y113">
        <v>2677</v>
      </c>
    </row>
    <row r="114" spans="4:25">
      <c r="D114">
        <v>2708</v>
      </c>
      <c r="Y114">
        <v>2708</v>
      </c>
    </row>
    <row r="115" spans="4:25">
      <c r="D115">
        <v>2738</v>
      </c>
      <c r="Y115">
        <v>2738</v>
      </c>
    </row>
    <row r="116" spans="4:25">
      <c r="D116">
        <v>2769</v>
      </c>
      <c r="Y116">
        <v>2769</v>
      </c>
    </row>
    <row r="117" spans="4:25">
      <c r="D117">
        <v>2800</v>
      </c>
      <c r="Y117">
        <v>2800</v>
      </c>
    </row>
    <row r="118" spans="4:25">
      <c r="D118">
        <v>2830</v>
      </c>
      <c r="Y118">
        <v>2830</v>
      </c>
    </row>
    <row r="119" spans="4:25">
      <c r="D119">
        <v>2861</v>
      </c>
      <c r="Y119">
        <v>2861</v>
      </c>
    </row>
    <row r="120" spans="4:25">
      <c r="D120">
        <v>2891</v>
      </c>
      <c r="Y120">
        <v>2891</v>
      </c>
    </row>
    <row r="121" spans="4:25">
      <c r="D121">
        <v>2922</v>
      </c>
      <c r="Y121">
        <v>2922</v>
      </c>
    </row>
    <row r="122" spans="4:25">
      <c r="D122">
        <v>2953</v>
      </c>
      <c r="Y122">
        <v>2953</v>
      </c>
    </row>
    <row r="123" spans="4:25">
      <c r="D123">
        <v>2981</v>
      </c>
      <c r="Y123">
        <v>2981</v>
      </c>
    </row>
    <row r="124" spans="4:25">
      <c r="D124">
        <v>3012</v>
      </c>
      <c r="Y124">
        <v>3012</v>
      </c>
    </row>
    <row r="125" spans="4:25">
      <c r="D125">
        <v>3042</v>
      </c>
      <c r="Y125">
        <v>3042</v>
      </c>
    </row>
    <row r="126" spans="4:25">
      <c r="D126">
        <v>3073</v>
      </c>
      <c r="Y126">
        <v>3073</v>
      </c>
    </row>
    <row r="127" spans="4:25">
      <c r="D127">
        <v>3103</v>
      </c>
      <c r="Y127">
        <v>3103</v>
      </c>
    </row>
    <row r="128" spans="4:25">
      <c r="D128">
        <v>3134</v>
      </c>
      <c r="Y128">
        <v>3134</v>
      </c>
    </row>
    <row r="129" spans="4:25">
      <c r="D129">
        <v>3165</v>
      </c>
      <c r="Y129">
        <v>3165</v>
      </c>
    </row>
    <row r="130" spans="4:25">
      <c r="D130">
        <v>3195</v>
      </c>
      <c r="Y130">
        <v>3195</v>
      </c>
    </row>
    <row r="131" spans="4:25">
      <c r="D131">
        <v>3226</v>
      </c>
      <c r="Y131">
        <v>3226</v>
      </c>
    </row>
    <row r="132" spans="4:25">
      <c r="D132">
        <v>3256</v>
      </c>
      <c r="Y132">
        <v>3256</v>
      </c>
    </row>
    <row r="133" spans="4:25">
      <c r="D133">
        <v>3287</v>
      </c>
      <c r="Y133">
        <v>3287</v>
      </c>
    </row>
    <row r="134" spans="4:25">
      <c r="D134">
        <v>3318</v>
      </c>
      <c r="Y134">
        <v>3318</v>
      </c>
    </row>
    <row r="135" spans="4:25">
      <c r="D135">
        <v>3346</v>
      </c>
      <c r="Y135">
        <v>3346</v>
      </c>
    </row>
    <row r="136" spans="4:25">
      <c r="D136">
        <v>3377</v>
      </c>
      <c r="Y136">
        <v>3377</v>
      </c>
    </row>
    <row r="137" spans="4:25">
      <c r="D137">
        <v>3407</v>
      </c>
      <c r="Y137">
        <v>3407</v>
      </c>
    </row>
    <row r="138" spans="4:25">
      <c r="D138">
        <v>3438</v>
      </c>
      <c r="Y138">
        <v>3438</v>
      </c>
    </row>
    <row r="139" spans="4:25">
      <c r="D139">
        <v>3468</v>
      </c>
      <c r="Y139">
        <v>3468</v>
      </c>
    </row>
    <row r="140" spans="4:25">
      <c r="D140">
        <v>3499</v>
      </c>
      <c r="Y140">
        <v>3499</v>
      </c>
    </row>
    <row r="141" spans="4:25">
      <c r="D141">
        <v>3530</v>
      </c>
      <c r="Y141">
        <v>3530</v>
      </c>
    </row>
    <row r="142" spans="4:25">
      <c r="D142">
        <v>3560</v>
      </c>
      <c r="Y142">
        <v>3560</v>
      </c>
    </row>
    <row r="143" spans="4:25">
      <c r="D143">
        <v>3591</v>
      </c>
      <c r="Y143">
        <v>3591</v>
      </c>
    </row>
    <row r="144" spans="4:25">
      <c r="D144">
        <v>3621</v>
      </c>
      <c r="Y144">
        <v>3621</v>
      </c>
    </row>
    <row r="145" spans="4:25">
      <c r="D145">
        <v>3652</v>
      </c>
      <c r="Y145">
        <v>3652</v>
      </c>
    </row>
    <row r="146" spans="4:25">
      <c r="D146">
        <v>3683</v>
      </c>
      <c r="Y146">
        <v>3683</v>
      </c>
    </row>
    <row r="147" spans="4:25">
      <c r="D147">
        <v>3711</v>
      </c>
      <c r="Y147">
        <v>3711</v>
      </c>
    </row>
    <row r="148" spans="4:25">
      <c r="D148">
        <v>3742</v>
      </c>
      <c r="Y148">
        <v>3742</v>
      </c>
    </row>
    <row r="149" spans="4:25">
      <c r="D149">
        <v>3772</v>
      </c>
      <c r="Y149">
        <v>3772</v>
      </c>
    </row>
    <row r="150" spans="4:25">
      <c r="D150">
        <v>3803</v>
      </c>
      <c r="Y150">
        <v>3803</v>
      </c>
    </row>
    <row r="151" spans="4:25">
      <c r="D151">
        <v>3833</v>
      </c>
      <c r="Y151">
        <v>3833</v>
      </c>
    </row>
    <row r="152" spans="4:25">
      <c r="D152">
        <v>3864</v>
      </c>
      <c r="Y152">
        <v>3864</v>
      </c>
    </row>
    <row r="153" spans="4:25">
      <c r="D153">
        <v>3895</v>
      </c>
      <c r="Y153">
        <v>3895</v>
      </c>
    </row>
    <row r="154" spans="4:25">
      <c r="D154">
        <v>3925</v>
      </c>
      <c r="Y154">
        <v>3925</v>
      </c>
    </row>
    <row r="155" spans="4:25">
      <c r="D155">
        <v>3956</v>
      </c>
      <c r="Y155">
        <v>3956</v>
      </c>
    </row>
    <row r="156" spans="4:25">
      <c r="D156">
        <v>3986</v>
      </c>
      <c r="Y156">
        <v>3986</v>
      </c>
    </row>
    <row r="157" spans="4:25">
      <c r="D157">
        <v>4017</v>
      </c>
      <c r="Y157">
        <v>4017</v>
      </c>
    </row>
    <row r="158" spans="4:25">
      <c r="D158">
        <v>4048</v>
      </c>
      <c r="Y158">
        <v>4048</v>
      </c>
    </row>
    <row r="159" spans="4:25">
      <c r="D159">
        <v>4077</v>
      </c>
      <c r="Y159">
        <v>4077</v>
      </c>
    </row>
    <row r="160" spans="4:25">
      <c r="D160">
        <v>4108</v>
      </c>
      <c r="Y160">
        <v>4108</v>
      </c>
    </row>
    <row r="161" spans="4:25">
      <c r="D161">
        <v>4138</v>
      </c>
      <c r="Y161">
        <v>4138</v>
      </c>
    </row>
    <row r="162" spans="4:25">
      <c r="D162">
        <v>4169</v>
      </c>
      <c r="Y162">
        <v>4169</v>
      </c>
    </row>
    <row r="163" spans="4:25">
      <c r="D163">
        <v>4199</v>
      </c>
      <c r="Y163">
        <v>4199</v>
      </c>
    </row>
    <row r="164" spans="4:25">
      <c r="D164">
        <v>4230</v>
      </c>
      <c r="Y164">
        <v>4230</v>
      </c>
    </row>
    <row r="165" spans="4:25">
      <c r="D165">
        <v>4261</v>
      </c>
      <c r="Y165">
        <v>4261</v>
      </c>
    </row>
    <row r="166" spans="4:25">
      <c r="D166">
        <v>4291</v>
      </c>
      <c r="Y166">
        <v>4291</v>
      </c>
    </row>
    <row r="167" spans="4:25">
      <c r="D167">
        <v>4322</v>
      </c>
      <c r="Y167">
        <v>4322</v>
      </c>
    </row>
    <row r="168" spans="4:25">
      <c r="D168">
        <v>4352</v>
      </c>
      <c r="Y168">
        <v>4352</v>
      </c>
    </row>
    <row r="169" spans="4:25">
      <c r="D169">
        <v>4383</v>
      </c>
      <c r="Y169">
        <v>4383</v>
      </c>
    </row>
    <row r="170" spans="4:25">
      <c r="D170">
        <v>4414</v>
      </c>
      <c r="Y170">
        <v>4414</v>
      </c>
    </row>
    <row r="171" spans="4:25">
      <c r="D171">
        <v>4442</v>
      </c>
      <c r="Y171">
        <v>4442</v>
      </c>
    </row>
    <row r="172" spans="4:25">
      <c r="D172">
        <v>4473</v>
      </c>
      <c r="Y172">
        <v>4473</v>
      </c>
    </row>
    <row r="173" spans="4:25">
      <c r="D173">
        <v>4503</v>
      </c>
      <c r="Y173">
        <v>4503</v>
      </c>
    </row>
    <row r="174" spans="4:25">
      <c r="D174">
        <v>4534</v>
      </c>
      <c r="Y174">
        <v>4534</v>
      </c>
    </row>
    <row r="175" spans="4:25">
      <c r="D175">
        <v>4564</v>
      </c>
      <c r="Y175">
        <v>4564</v>
      </c>
    </row>
    <row r="176" spans="4:25">
      <c r="D176">
        <v>4595</v>
      </c>
      <c r="Y176">
        <v>4595</v>
      </c>
    </row>
    <row r="177" spans="4:25">
      <c r="D177">
        <v>4626</v>
      </c>
      <c r="Y177">
        <v>4626</v>
      </c>
    </row>
    <row r="178" spans="4:25">
      <c r="D178">
        <v>4656</v>
      </c>
      <c r="Y178">
        <v>4656</v>
      </c>
    </row>
    <row r="179" spans="4:25">
      <c r="D179">
        <v>4687</v>
      </c>
      <c r="Y179">
        <v>4687</v>
      </c>
    </row>
    <row r="180" spans="4:25">
      <c r="D180">
        <v>4717</v>
      </c>
      <c r="Y180">
        <v>4717</v>
      </c>
    </row>
    <row r="181" spans="4:25">
      <c r="D181">
        <v>4748</v>
      </c>
      <c r="Y181">
        <v>4748</v>
      </c>
    </row>
    <row r="182" spans="4:25">
      <c r="D182">
        <v>4779</v>
      </c>
      <c r="Y182">
        <v>4779</v>
      </c>
    </row>
    <row r="183" spans="4:25">
      <c r="D183">
        <v>4807</v>
      </c>
      <c r="Y183">
        <v>4807</v>
      </c>
    </row>
    <row r="184" spans="4:25">
      <c r="D184">
        <v>4838</v>
      </c>
      <c r="Y184">
        <v>4838</v>
      </c>
    </row>
    <row r="185" spans="4:25">
      <c r="D185">
        <v>4868</v>
      </c>
      <c r="Y185">
        <v>4868</v>
      </c>
    </row>
    <row r="186" spans="4:25">
      <c r="D186">
        <v>4899</v>
      </c>
      <c r="Y186">
        <v>4899</v>
      </c>
    </row>
    <row r="187" spans="4:25">
      <c r="D187">
        <v>4929</v>
      </c>
      <c r="Y187">
        <v>4929</v>
      </c>
    </row>
    <row r="188" spans="4:25">
      <c r="D188">
        <v>4960</v>
      </c>
      <c r="Y188">
        <v>4960</v>
      </c>
    </row>
    <row r="189" spans="4:25">
      <c r="D189">
        <v>4991</v>
      </c>
      <c r="Y189">
        <v>4991</v>
      </c>
    </row>
    <row r="190" spans="4:25">
      <c r="D190">
        <v>5021</v>
      </c>
      <c r="Y190">
        <v>5021</v>
      </c>
    </row>
    <row r="191" spans="4:25">
      <c r="D191">
        <v>5052</v>
      </c>
      <c r="Y191">
        <v>5052</v>
      </c>
    </row>
    <row r="192" spans="4:25">
      <c r="D192">
        <v>5082</v>
      </c>
      <c r="Y192">
        <v>5082</v>
      </c>
    </row>
    <row r="193" spans="4:25">
      <c r="D193">
        <v>5113</v>
      </c>
      <c r="Y193">
        <v>5113</v>
      </c>
    </row>
    <row r="194" spans="4:25">
      <c r="D194">
        <v>5144</v>
      </c>
      <c r="Y194">
        <v>5144</v>
      </c>
    </row>
    <row r="195" spans="4:25">
      <c r="D195">
        <v>5172</v>
      </c>
      <c r="Y195">
        <v>5172</v>
      </c>
    </row>
    <row r="196" spans="4:25">
      <c r="D196">
        <v>5203</v>
      </c>
      <c r="Y196">
        <v>5203</v>
      </c>
    </row>
    <row r="197" spans="4:25">
      <c r="D197">
        <v>5233</v>
      </c>
      <c r="Y197">
        <v>5233</v>
      </c>
    </row>
    <row r="198" spans="4:25">
      <c r="D198">
        <v>5264</v>
      </c>
      <c r="Y198">
        <v>5264</v>
      </c>
    </row>
    <row r="199" spans="4:25">
      <c r="D199">
        <v>5294</v>
      </c>
      <c r="Y199">
        <v>5294</v>
      </c>
    </row>
    <row r="200" spans="4:25">
      <c r="D200">
        <v>5325</v>
      </c>
      <c r="Y200">
        <v>5325</v>
      </c>
    </row>
    <row r="201" spans="4:25">
      <c r="D201">
        <v>5356</v>
      </c>
      <c r="Y201">
        <v>5356</v>
      </c>
    </row>
    <row r="202" spans="4:25">
      <c r="D202">
        <v>5386</v>
      </c>
      <c r="Y202">
        <v>5386</v>
      </c>
    </row>
    <row r="203" spans="4:25">
      <c r="D203">
        <v>5417</v>
      </c>
      <c r="Y203">
        <v>5417</v>
      </c>
    </row>
    <row r="204" spans="4:25">
      <c r="D204">
        <v>5447</v>
      </c>
      <c r="Y204">
        <v>5447</v>
      </c>
    </row>
    <row r="205" spans="4:25">
      <c r="D205">
        <v>5478</v>
      </c>
      <c r="Y205">
        <v>5478</v>
      </c>
    </row>
    <row r="206" spans="4:25">
      <c r="D206">
        <v>5509</v>
      </c>
      <c r="Y206">
        <v>5509</v>
      </c>
    </row>
    <row r="207" spans="4:25">
      <c r="D207">
        <v>5538</v>
      </c>
      <c r="Y207">
        <v>5538</v>
      </c>
    </row>
    <row r="208" spans="4:25">
      <c r="D208">
        <v>5569</v>
      </c>
      <c r="Y208">
        <v>5569</v>
      </c>
    </row>
    <row r="209" spans="4:25">
      <c r="D209">
        <v>5599</v>
      </c>
      <c r="Y209">
        <v>5599</v>
      </c>
    </row>
    <row r="210" spans="4:25">
      <c r="D210">
        <v>5630</v>
      </c>
      <c r="Y210">
        <v>5630</v>
      </c>
    </row>
    <row r="211" spans="4:25">
      <c r="D211">
        <v>5660</v>
      </c>
      <c r="Y211">
        <v>5660</v>
      </c>
    </row>
    <row r="212" spans="4:25">
      <c r="D212">
        <v>5691</v>
      </c>
      <c r="Y212">
        <v>5691</v>
      </c>
    </row>
    <row r="213" spans="4:25">
      <c r="D213">
        <v>5722</v>
      </c>
      <c r="Y213">
        <v>5722</v>
      </c>
    </row>
    <row r="214" spans="4:25">
      <c r="D214">
        <v>5752</v>
      </c>
      <c r="Y214">
        <v>5752</v>
      </c>
    </row>
    <row r="215" spans="4:25">
      <c r="D215">
        <v>5783</v>
      </c>
      <c r="Y215">
        <v>5783</v>
      </c>
    </row>
    <row r="216" spans="4:25">
      <c r="D216">
        <v>5813</v>
      </c>
      <c r="Y216">
        <v>5813</v>
      </c>
    </row>
    <row r="217" spans="4:25">
      <c r="D217">
        <v>5844</v>
      </c>
      <c r="Y217">
        <v>5844</v>
      </c>
    </row>
    <row r="218" spans="4:25">
      <c r="D218">
        <v>5875</v>
      </c>
      <c r="Y218">
        <v>5875</v>
      </c>
    </row>
    <row r="219" spans="4:25">
      <c r="D219">
        <v>5903</v>
      </c>
      <c r="Y219">
        <v>5903</v>
      </c>
    </row>
    <row r="220" spans="4:25">
      <c r="D220">
        <v>5934</v>
      </c>
      <c r="Y220">
        <v>5934</v>
      </c>
    </row>
    <row r="221" spans="4:25">
      <c r="D221">
        <v>5964</v>
      </c>
      <c r="Y221">
        <v>5964</v>
      </c>
    </row>
    <row r="222" spans="4:25">
      <c r="D222">
        <v>5995</v>
      </c>
      <c r="Y222">
        <v>5995</v>
      </c>
    </row>
    <row r="223" spans="4:25">
      <c r="D223">
        <v>6025</v>
      </c>
      <c r="Y223">
        <v>6025</v>
      </c>
    </row>
    <row r="224" spans="4:25">
      <c r="D224">
        <v>6056</v>
      </c>
      <c r="Y224">
        <v>6056</v>
      </c>
    </row>
    <row r="225" spans="4:25">
      <c r="D225">
        <v>6087</v>
      </c>
      <c r="Y225">
        <v>6087</v>
      </c>
    </row>
    <row r="226" spans="4:25">
      <c r="D226">
        <v>6117</v>
      </c>
      <c r="Y226">
        <v>6117</v>
      </c>
    </row>
    <row r="227" spans="4:25">
      <c r="D227">
        <v>6148</v>
      </c>
      <c r="Y227">
        <v>6148</v>
      </c>
    </row>
    <row r="228" spans="4:25">
      <c r="D228">
        <v>6178</v>
      </c>
      <c r="Y228">
        <v>6178</v>
      </c>
    </row>
    <row r="229" spans="4:25">
      <c r="D229">
        <v>6209</v>
      </c>
      <c r="Y229">
        <v>6209</v>
      </c>
    </row>
    <row r="230" spans="4:25">
      <c r="D230">
        <v>6240</v>
      </c>
      <c r="Y230">
        <v>6240</v>
      </c>
    </row>
    <row r="231" spans="4:25">
      <c r="D231">
        <v>6268</v>
      </c>
      <c r="Y231">
        <v>6268</v>
      </c>
    </row>
    <row r="232" spans="4:25">
      <c r="D232">
        <v>6299</v>
      </c>
      <c r="Y232">
        <v>6299</v>
      </c>
    </row>
    <row r="233" spans="4:25">
      <c r="D233">
        <v>6329</v>
      </c>
      <c r="Y233">
        <v>6329</v>
      </c>
    </row>
    <row r="234" spans="4:25">
      <c r="D234">
        <v>6360</v>
      </c>
      <c r="Y234">
        <v>6360</v>
      </c>
    </row>
    <row r="235" spans="4:25">
      <c r="D235">
        <v>6390</v>
      </c>
      <c r="Y235">
        <v>6390</v>
      </c>
    </row>
    <row r="236" spans="4:25">
      <c r="D236">
        <v>6421</v>
      </c>
      <c r="Y236">
        <v>6421</v>
      </c>
    </row>
    <row r="237" spans="4:25">
      <c r="D237">
        <v>6452</v>
      </c>
      <c r="Y237">
        <v>6452</v>
      </c>
    </row>
    <row r="238" spans="4:25">
      <c r="D238">
        <v>6482</v>
      </c>
      <c r="Y238">
        <v>6482</v>
      </c>
    </row>
    <row r="239" spans="4:25">
      <c r="D239">
        <v>6513</v>
      </c>
      <c r="Y239">
        <v>6513</v>
      </c>
    </row>
    <row r="240" spans="4:25">
      <c r="D240">
        <v>6543</v>
      </c>
      <c r="Y240">
        <v>6543</v>
      </c>
    </row>
    <row r="241" spans="4:25">
      <c r="D241">
        <v>6574</v>
      </c>
      <c r="Y241">
        <v>6574</v>
      </c>
    </row>
    <row r="242" spans="4:25">
      <c r="D242">
        <v>6605</v>
      </c>
      <c r="Y242">
        <v>6605</v>
      </c>
    </row>
    <row r="243" spans="4:25">
      <c r="D243">
        <v>6633</v>
      </c>
      <c r="Y243">
        <v>6633</v>
      </c>
    </row>
    <row r="244" spans="4:25">
      <c r="D244">
        <v>6664</v>
      </c>
      <c r="Y244">
        <v>6664</v>
      </c>
    </row>
    <row r="245" spans="4:25">
      <c r="D245">
        <v>6694</v>
      </c>
      <c r="Y245">
        <v>6694</v>
      </c>
    </row>
    <row r="246" spans="4:25">
      <c r="D246">
        <v>6725</v>
      </c>
      <c r="Y246">
        <v>6725</v>
      </c>
    </row>
    <row r="247" spans="4:25">
      <c r="D247">
        <v>6755</v>
      </c>
      <c r="Y247">
        <v>6755</v>
      </c>
    </row>
    <row r="248" spans="4:25">
      <c r="D248">
        <v>6786</v>
      </c>
      <c r="Y248">
        <v>6786</v>
      </c>
    </row>
    <row r="249" spans="4:25">
      <c r="D249">
        <v>6817</v>
      </c>
      <c r="Y249">
        <v>6817</v>
      </c>
    </row>
    <row r="250" spans="4:25">
      <c r="D250">
        <v>6847</v>
      </c>
      <c r="Y250">
        <v>6847</v>
      </c>
    </row>
    <row r="251" spans="4:25">
      <c r="D251">
        <v>6878</v>
      </c>
      <c r="Y251">
        <v>6878</v>
      </c>
    </row>
    <row r="252" spans="4:25">
      <c r="D252">
        <v>6908</v>
      </c>
      <c r="Y252">
        <v>6908</v>
      </c>
    </row>
    <row r="253" spans="4:25">
      <c r="D253">
        <v>6939</v>
      </c>
      <c r="Y253">
        <v>6939</v>
      </c>
    </row>
    <row r="254" spans="4:25">
      <c r="D254">
        <v>6970</v>
      </c>
      <c r="Y254">
        <v>6970</v>
      </c>
    </row>
    <row r="255" spans="4:25">
      <c r="D255">
        <v>6999</v>
      </c>
      <c r="Y255">
        <v>6999</v>
      </c>
    </row>
    <row r="256" spans="4:25">
      <c r="D256">
        <v>7030</v>
      </c>
      <c r="Y256">
        <v>7030</v>
      </c>
    </row>
    <row r="257" spans="4:25">
      <c r="D257">
        <v>7060</v>
      </c>
      <c r="Y257">
        <v>7060</v>
      </c>
    </row>
    <row r="258" spans="4:25">
      <c r="D258">
        <v>7091</v>
      </c>
      <c r="Y258">
        <v>7091</v>
      </c>
    </row>
    <row r="259" spans="4:25">
      <c r="D259">
        <v>7121</v>
      </c>
      <c r="Y259">
        <v>7121</v>
      </c>
    </row>
    <row r="260" spans="4:25">
      <c r="D260">
        <v>7152</v>
      </c>
      <c r="Y260">
        <v>7152</v>
      </c>
    </row>
    <row r="261" spans="4:25">
      <c r="D261">
        <v>7183</v>
      </c>
      <c r="Y261">
        <v>7183</v>
      </c>
    </row>
    <row r="262" spans="4:25">
      <c r="D262">
        <v>7213</v>
      </c>
      <c r="Y262">
        <v>7213</v>
      </c>
    </row>
    <row r="263" spans="4:25">
      <c r="D263">
        <v>7244</v>
      </c>
      <c r="Y263">
        <v>7244</v>
      </c>
    </row>
    <row r="264" spans="4:25">
      <c r="D264">
        <v>7274</v>
      </c>
      <c r="Y264">
        <v>7274</v>
      </c>
    </row>
    <row r="265" spans="4:25">
      <c r="D265">
        <v>7305</v>
      </c>
      <c r="Y265">
        <v>7305</v>
      </c>
    </row>
    <row r="266" spans="4:25">
      <c r="D266">
        <v>7336</v>
      </c>
      <c r="Y266">
        <v>7336</v>
      </c>
    </row>
    <row r="267" spans="4:25">
      <c r="D267">
        <v>7364</v>
      </c>
      <c r="Y267">
        <v>7364</v>
      </c>
    </row>
    <row r="268" spans="4:25">
      <c r="D268">
        <v>7395</v>
      </c>
      <c r="Y268">
        <v>7395</v>
      </c>
    </row>
    <row r="269" spans="4:25">
      <c r="D269">
        <v>7425</v>
      </c>
      <c r="Y269">
        <v>7425</v>
      </c>
    </row>
    <row r="270" spans="4:25">
      <c r="D270">
        <v>7456</v>
      </c>
      <c r="Y270">
        <v>7456</v>
      </c>
    </row>
    <row r="271" spans="4:25">
      <c r="D271">
        <v>7486</v>
      </c>
      <c r="Y271">
        <v>7486</v>
      </c>
    </row>
    <row r="272" spans="4:25">
      <c r="D272">
        <v>7517</v>
      </c>
      <c r="Y272">
        <v>7517</v>
      </c>
    </row>
    <row r="273" spans="4:25">
      <c r="D273">
        <v>7548</v>
      </c>
      <c r="Y273">
        <v>7548</v>
      </c>
    </row>
    <row r="274" spans="4:25">
      <c r="D274">
        <v>7578</v>
      </c>
      <c r="Y274">
        <v>7578</v>
      </c>
    </row>
    <row r="275" spans="4:25">
      <c r="D275">
        <v>7609</v>
      </c>
      <c r="Y275">
        <v>7609</v>
      </c>
    </row>
    <row r="276" spans="4:25">
      <c r="D276">
        <v>7639</v>
      </c>
      <c r="Y276">
        <v>7639</v>
      </c>
    </row>
    <row r="277" spans="4:25">
      <c r="D277">
        <v>7670</v>
      </c>
      <c r="Y277">
        <v>7670</v>
      </c>
    </row>
    <row r="278" spans="4:25">
      <c r="D278">
        <v>7701</v>
      </c>
      <c r="Y278">
        <v>7701</v>
      </c>
    </row>
    <row r="279" spans="4:25">
      <c r="D279">
        <v>7729</v>
      </c>
      <c r="Y279">
        <v>7729</v>
      </c>
    </row>
    <row r="280" spans="4:25">
      <c r="D280">
        <v>7760</v>
      </c>
      <c r="Y280">
        <v>7760</v>
      </c>
    </row>
    <row r="281" spans="4:25">
      <c r="D281">
        <v>7790</v>
      </c>
      <c r="Y281">
        <v>7790</v>
      </c>
    </row>
    <row r="282" spans="4:25">
      <c r="D282">
        <v>7821</v>
      </c>
      <c r="Y282">
        <v>7821</v>
      </c>
    </row>
    <row r="283" spans="4:25">
      <c r="D283">
        <v>7851</v>
      </c>
      <c r="Y283">
        <v>7851</v>
      </c>
    </row>
    <row r="284" spans="4:25">
      <c r="D284">
        <v>7882</v>
      </c>
      <c r="Y284">
        <v>7882</v>
      </c>
    </row>
    <row r="285" spans="4:25">
      <c r="D285">
        <v>7913</v>
      </c>
      <c r="Y285">
        <v>7913</v>
      </c>
    </row>
    <row r="286" spans="4:25">
      <c r="D286">
        <v>7943</v>
      </c>
      <c r="Y286">
        <v>7943</v>
      </c>
    </row>
    <row r="287" spans="4:25">
      <c r="D287">
        <v>7974</v>
      </c>
      <c r="Y287">
        <v>7974</v>
      </c>
    </row>
    <row r="288" spans="4:25">
      <c r="D288">
        <v>8004</v>
      </c>
      <c r="Y288">
        <v>8004</v>
      </c>
    </row>
    <row r="289" spans="4:25">
      <c r="D289">
        <v>8035</v>
      </c>
      <c r="Y289">
        <v>8035</v>
      </c>
    </row>
    <row r="290" spans="4:25">
      <c r="D290">
        <v>8066</v>
      </c>
      <c r="Y290">
        <v>8066</v>
      </c>
    </row>
    <row r="291" spans="4:25">
      <c r="D291">
        <v>8094</v>
      </c>
      <c r="Y291">
        <v>8094</v>
      </c>
    </row>
    <row r="292" spans="4:25">
      <c r="D292">
        <v>8125</v>
      </c>
      <c r="Y292">
        <v>8125</v>
      </c>
    </row>
    <row r="293" spans="4:25">
      <c r="D293">
        <v>8155</v>
      </c>
      <c r="Y293">
        <v>8155</v>
      </c>
    </row>
    <row r="294" spans="4:25">
      <c r="D294">
        <v>8186</v>
      </c>
      <c r="Y294">
        <v>8186</v>
      </c>
    </row>
    <row r="295" spans="4:25">
      <c r="D295">
        <v>8216</v>
      </c>
      <c r="Y295">
        <v>8216</v>
      </c>
    </row>
    <row r="296" spans="4:25">
      <c r="D296">
        <v>8247</v>
      </c>
      <c r="Y296">
        <v>8247</v>
      </c>
    </row>
    <row r="297" spans="4:25">
      <c r="D297">
        <v>8278</v>
      </c>
      <c r="Y297">
        <v>8278</v>
      </c>
    </row>
    <row r="298" spans="4:25">
      <c r="D298">
        <v>8308</v>
      </c>
      <c r="Y298">
        <v>8308</v>
      </c>
    </row>
    <row r="299" spans="4:25">
      <c r="D299">
        <v>8339</v>
      </c>
      <c r="Y299">
        <v>8339</v>
      </c>
    </row>
    <row r="300" spans="4:25">
      <c r="D300">
        <v>8369</v>
      </c>
      <c r="Y300">
        <v>8369</v>
      </c>
    </row>
    <row r="301" spans="4:25">
      <c r="D301">
        <v>8400</v>
      </c>
      <c r="Y301">
        <v>8400</v>
      </c>
    </row>
    <row r="302" spans="4:25">
      <c r="D302">
        <v>8431</v>
      </c>
      <c r="Y302">
        <v>8431</v>
      </c>
    </row>
    <row r="303" spans="4:25">
      <c r="D303">
        <v>8460</v>
      </c>
      <c r="Y303">
        <v>8460</v>
      </c>
    </row>
    <row r="304" spans="4:25">
      <c r="D304">
        <v>8491</v>
      </c>
      <c r="Y304">
        <v>8491</v>
      </c>
    </row>
    <row r="305" spans="4:25">
      <c r="D305">
        <v>8521</v>
      </c>
      <c r="Y305">
        <v>8521</v>
      </c>
    </row>
    <row r="306" spans="4:25">
      <c r="D306">
        <v>8552</v>
      </c>
      <c r="Y306">
        <v>8552</v>
      </c>
    </row>
    <row r="307" spans="4:25">
      <c r="D307">
        <v>8582</v>
      </c>
      <c r="Y307">
        <v>8582</v>
      </c>
    </row>
    <row r="308" spans="4:25">
      <c r="D308">
        <v>8613</v>
      </c>
      <c r="Y308">
        <v>8613</v>
      </c>
    </row>
    <row r="309" spans="4:25">
      <c r="D309">
        <v>8644</v>
      </c>
      <c r="Y309">
        <v>8644</v>
      </c>
    </row>
    <row r="310" spans="4:25">
      <c r="D310">
        <v>8674</v>
      </c>
      <c r="Y310">
        <v>8674</v>
      </c>
    </row>
    <row r="311" spans="4:25">
      <c r="D311">
        <v>8705</v>
      </c>
      <c r="Y311">
        <v>8705</v>
      </c>
    </row>
    <row r="312" spans="4:25">
      <c r="D312">
        <v>8735</v>
      </c>
      <c r="Y312">
        <v>8735</v>
      </c>
    </row>
    <row r="313" spans="4:25">
      <c r="D313">
        <v>8766</v>
      </c>
      <c r="Y313">
        <v>8766</v>
      </c>
    </row>
    <row r="314" spans="4:25">
      <c r="D314">
        <v>8797</v>
      </c>
      <c r="Y314">
        <v>8797</v>
      </c>
    </row>
    <row r="315" spans="4:25">
      <c r="D315">
        <v>8825</v>
      </c>
      <c r="Y315">
        <v>8825</v>
      </c>
    </row>
    <row r="316" spans="4:25">
      <c r="D316">
        <v>8856</v>
      </c>
      <c r="Y316">
        <v>8856</v>
      </c>
    </row>
    <row r="317" spans="4:25">
      <c r="D317">
        <v>8886</v>
      </c>
      <c r="Y317">
        <v>8886</v>
      </c>
    </row>
    <row r="318" spans="4:25">
      <c r="D318">
        <v>8917</v>
      </c>
      <c r="Y318">
        <v>8917</v>
      </c>
    </row>
    <row r="319" spans="4:25">
      <c r="D319">
        <v>8947</v>
      </c>
      <c r="Y319">
        <v>8947</v>
      </c>
    </row>
    <row r="320" spans="4:25">
      <c r="D320">
        <v>8978</v>
      </c>
      <c r="Y320">
        <v>8978</v>
      </c>
    </row>
    <row r="321" spans="4:25">
      <c r="D321">
        <v>9009</v>
      </c>
      <c r="Y321">
        <v>9009</v>
      </c>
    </row>
    <row r="322" spans="4:25">
      <c r="D322">
        <v>9039</v>
      </c>
      <c r="Y322">
        <v>9039</v>
      </c>
    </row>
    <row r="323" spans="4:25">
      <c r="D323">
        <v>9070</v>
      </c>
      <c r="Y323">
        <v>9070</v>
      </c>
    </row>
    <row r="324" spans="4:25">
      <c r="D324">
        <v>9100</v>
      </c>
      <c r="Y324">
        <v>9100</v>
      </c>
    </row>
    <row r="325" spans="4:25">
      <c r="D325">
        <v>9131</v>
      </c>
      <c r="Y325">
        <v>9131</v>
      </c>
    </row>
    <row r="326" spans="4:25">
      <c r="D326">
        <v>9162</v>
      </c>
      <c r="Y326">
        <v>9162</v>
      </c>
    </row>
    <row r="327" spans="4:25">
      <c r="D327">
        <v>9190</v>
      </c>
      <c r="Y327">
        <v>9190</v>
      </c>
    </row>
    <row r="328" spans="4:25">
      <c r="D328">
        <v>9221</v>
      </c>
      <c r="Y328">
        <v>9221</v>
      </c>
    </row>
    <row r="329" spans="4:25">
      <c r="D329">
        <v>9251</v>
      </c>
      <c r="Y329">
        <v>9251</v>
      </c>
    </row>
    <row r="330" spans="4:25">
      <c r="D330">
        <v>9282</v>
      </c>
      <c r="Y330">
        <v>9282</v>
      </c>
    </row>
    <row r="331" spans="4:25">
      <c r="D331">
        <v>9312</v>
      </c>
      <c r="Y331">
        <v>9312</v>
      </c>
    </row>
    <row r="332" spans="4:25">
      <c r="D332">
        <v>9343</v>
      </c>
      <c r="Y332">
        <v>9343</v>
      </c>
    </row>
    <row r="333" spans="4:25">
      <c r="D333">
        <v>9374</v>
      </c>
      <c r="Y333">
        <v>9374</v>
      </c>
    </row>
    <row r="334" spans="4:25">
      <c r="D334">
        <v>9404</v>
      </c>
      <c r="Y334">
        <v>9404</v>
      </c>
    </row>
    <row r="335" spans="4:25">
      <c r="D335">
        <v>9435</v>
      </c>
      <c r="Y335">
        <v>9435</v>
      </c>
    </row>
    <row r="336" spans="4:25">
      <c r="D336">
        <v>9465</v>
      </c>
      <c r="Y336">
        <v>9465</v>
      </c>
    </row>
    <row r="337" spans="4:25">
      <c r="D337">
        <v>9496</v>
      </c>
      <c r="Y337">
        <v>9496</v>
      </c>
    </row>
    <row r="338" spans="4:25">
      <c r="D338">
        <v>9527</v>
      </c>
      <c r="Y338">
        <v>9527</v>
      </c>
    </row>
    <row r="339" spans="4:25">
      <c r="D339">
        <v>9555</v>
      </c>
      <c r="Y339">
        <v>9555</v>
      </c>
    </row>
    <row r="340" spans="4:25">
      <c r="D340">
        <v>9586</v>
      </c>
      <c r="Y340">
        <v>9586</v>
      </c>
    </row>
    <row r="341" spans="4:25">
      <c r="D341">
        <v>9616</v>
      </c>
      <c r="Y341">
        <v>9616</v>
      </c>
    </row>
    <row r="342" spans="4:25">
      <c r="D342">
        <v>9647</v>
      </c>
      <c r="Y342">
        <v>9647</v>
      </c>
    </row>
    <row r="343" spans="4:25">
      <c r="D343">
        <v>9677</v>
      </c>
      <c r="Y343">
        <v>9677</v>
      </c>
    </row>
    <row r="344" spans="4:25">
      <c r="D344">
        <v>9708</v>
      </c>
      <c r="Y344">
        <v>9708</v>
      </c>
    </row>
    <row r="345" spans="4:25">
      <c r="D345">
        <v>9739</v>
      </c>
      <c r="Y345">
        <v>9739</v>
      </c>
    </row>
    <row r="346" spans="4:25">
      <c r="D346">
        <v>9769</v>
      </c>
      <c r="Y346">
        <v>9769</v>
      </c>
    </row>
    <row r="347" spans="4:25">
      <c r="D347">
        <v>9800</v>
      </c>
      <c r="Y347">
        <v>9800</v>
      </c>
    </row>
    <row r="348" spans="4:25">
      <c r="D348">
        <v>9830</v>
      </c>
      <c r="Y348">
        <v>9830</v>
      </c>
    </row>
    <row r="349" spans="4:25">
      <c r="D349">
        <v>9861</v>
      </c>
      <c r="Y349">
        <v>9861</v>
      </c>
    </row>
    <row r="350" spans="4:25">
      <c r="D350">
        <v>9892</v>
      </c>
      <c r="Y350">
        <v>9892</v>
      </c>
    </row>
    <row r="351" spans="4:25">
      <c r="D351">
        <v>9921</v>
      </c>
      <c r="Y351">
        <v>9921</v>
      </c>
    </row>
    <row r="352" spans="4:25">
      <c r="D352">
        <v>9952</v>
      </c>
      <c r="Y352">
        <v>9952</v>
      </c>
    </row>
    <row r="353" spans="4:25">
      <c r="D353">
        <v>9982</v>
      </c>
      <c r="Y353">
        <v>9982</v>
      </c>
    </row>
    <row r="354" spans="4:25">
      <c r="D354">
        <v>10013</v>
      </c>
      <c r="Y354">
        <v>10013</v>
      </c>
    </row>
    <row r="355" spans="4:25">
      <c r="D355">
        <v>10043</v>
      </c>
      <c r="Y355">
        <v>10043</v>
      </c>
    </row>
    <row r="356" spans="4:25">
      <c r="D356">
        <v>10074</v>
      </c>
      <c r="Y356">
        <v>10074</v>
      </c>
    </row>
    <row r="357" spans="4:25">
      <c r="D357">
        <v>10105</v>
      </c>
      <c r="Y357">
        <v>10105</v>
      </c>
    </row>
    <row r="358" spans="4:25">
      <c r="D358">
        <v>10135</v>
      </c>
      <c r="Y358">
        <v>10135</v>
      </c>
    </row>
    <row r="359" spans="4:25">
      <c r="D359">
        <v>10166</v>
      </c>
      <c r="Y359">
        <v>10166</v>
      </c>
    </row>
    <row r="360" spans="4:25">
      <c r="D360">
        <v>10196</v>
      </c>
      <c r="Y360">
        <v>10196</v>
      </c>
    </row>
    <row r="361" spans="4:25">
      <c r="D361">
        <v>10227</v>
      </c>
      <c r="Y361">
        <v>10227</v>
      </c>
    </row>
    <row r="362" spans="4:25">
      <c r="D362">
        <v>10258</v>
      </c>
      <c r="Y362">
        <v>10258</v>
      </c>
    </row>
    <row r="363" spans="4:25">
      <c r="D363">
        <v>10286</v>
      </c>
      <c r="Y363">
        <v>10286</v>
      </c>
    </row>
    <row r="364" spans="4:25">
      <c r="D364">
        <v>10317</v>
      </c>
      <c r="Y364">
        <v>10317</v>
      </c>
    </row>
    <row r="365" spans="4:25">
      <c r="D365">
        <v>10347</v>
      </c>
      <c r="Y365">
        <v>10347</v>
      </c>
    </row>
    <row r="366" spans="4:25">
      <c r="D366">
        <v>10378</v>
      </c>
      <c r="Y366">
        <v>10378</v>
      </c>
    </row>
    <row r="367" spans="4:25">
      <c r="D367">
        <v>10408</v>
      </c>
      <c r="Y367">
        <v>10408</v>
      </c>
    </row>
    <row r="368" spans="4:25">
      <c r="D368">
        <v>10439</v>
      </c>
      <c r="Y368">
        <v>10439</v>
      </c>
    </row>
    <row r="369" spans="4:25">
      <c r="D369">
        <v>10470</v>
      </c>
      <c r="Y369">
        <v>10470</v>
      </c>
    </row>
    <row r="370" spans="4:25">
      <c r="D370">
        <v>10500</v>
      </c>
      <c r="Y370">
        <v>10500</v>
      </c>
    </row>
    <row r="371" spans="4:25">
      <c r="D371">
        <v>10531</v>
      </c>
      <c r="Y371">
        <v>10531</v>
      </c>
    </row>
    <row r="372" spans="4:25">
      <c r="D372">
        <v>10561</v>
      </c>
      <c r="Y372">
        <v>10561</v>
      </c>
    </row>
    <row r="373" spans="4:25">
      <c r="D373">
        <v>10592</v>
      </c>
      <c r="Y373">
        <v>10592</v>
      </c>
    </row>
    <row r="374" spans="4:25">
      <c r="D374">
        <v>10623</v>
      </c>
      <c r="Y374">
        <v>10623</v>
      </c>
    </row>
    <row r="375" spans="4:25">
      <c r="D375">
        <v>10651</v>
      </c>
      <c r="Y375">
        <v>10651</v>
      </c>
    </row>
    <row r="376" spans="4:25">
      <c r="D376">
        <v>10682</v>
      </c>
      <c r="Y376">
        <v>10682</v>
      </c>
    </row>
    <row r="377" spans="4:25">
      <c r="D377">
        <v>10712</v>
      </c>
      <c r="Y377">
        <v>10712</v>
      </c>
    </row>
    <row r="378" spans="4:25">
      <c r="D378">
        <v>10743</v>
      </c>
      <c r="Y378">
        <v>10743</v>
      </c>
    </row>
    <row r="379" spans="4:25">
      <c r="D379">
        <v>10773</v>
      </c>
      <c r="Y379">
        <v>10773</v>
      </c>
    </row>
    <row r="380" spans="4:25">
      <c r="D380">
        <v>10804</v>
      </c>
      <c r="Y380">
        <v>10804</v>
      </c>
    </row>
    <row r="381" spans="4:25">
      <c r="D381">
        <v>10835</v>
      </c>
      <c r="Y381">
        <v>10835</v>
      </c>
    </row>
    <row r="382" spans="4:25">
      <c r="D382">
        <v>10865</v>
      </c>
      <c r="Y382">
        <v>10865</v>
      </c>
    </row>
    <row r="383" spans="4:25">
      <c r="D383">
        <v>10896</v>
      </c>
      <c r="Y383">
        <v>10896</v>
      </c>
    </row>
    <row r="384" spans="4:25">
      <c r="D384">
        <v>10926</v>
      </c>
      <c r="Y384">
        <v>10926</v>
      </c>
    </row>
    <row r="385" spans="4:25">
      <c r="D385">
        <v>10957</v>
      </c>
      <c r="Y385">
        <v>10957</v>
      </c>
    </row>
    <row r="386" spans="4:25">
      <c r="D386">
        <v>10988</v>
      </c>
      <c r="Y386">
        <v>10988</v>
      </c>
    </row>
    <row r="387" spans="4:25">
      <c r="D387">
        <v>11016</v>
      </c>
      <c r="Y387">
        <v>11016</v>
      </c>
    </row>
    <row r="388" spans="4:25">
      <c r="D388">
        <v>11047</v>
      </c>
      <c r="Y388">
        <v>11047</v>
      </c>
    </row>
    <row r="389" spans="4:25">
      <c r="D389">
        <v>11077</v>
      </c>
      <c r="Y389">
        <v>11077</v>
      </c>
    </row>
    <row r="390" spans="4:25">
      <c r="D390">
        <v>11108</v>
      </c>
      <c r="Y390">
        <v>11108</v>
      </c>
    </row>
    <row r="391" spans="4:25">
      <c r="D391">
        <v>11138</v>
      </c>
      <c r="Y391">
        <v>11138</v>
      </c>
    </row>
    <row r="392" spans="4:25">
      <c r="D392">
        <v>11169</v>
      </c>
      <c r="Y392">
        <v>11169</v>
      </c>
    </row>
    <row r="393" spans="4:25">
      <c r="D393">
        <v>11200</v>
      </c>
      <c r="Y393">
        <v>11200</v>
      </c>
    </row>
    <row r="394" spans="4:25">
      <c r="D394">
        <v>11230</v>
      </c>
      <c r="Y394">
        <v>11230</v>
      </c>
    </row>
    <row r="395" spans="4:25">
      <c r="D395">
        <v>11261</v>
      </c>
      <c r="Y395">
        <v>11261</v>
      </c>
    </row>
    <row r="396" spans="4:25">
      <c r="D396">
        <v>11291</v>
      </c>
      <c r="Y396">
        <v>11291</v>
      </c>
    </row>
    <row r="397" spans="4:25">
      <c r="D397">
        <v>11322</v>
      </c>
      <c r="Y397">
        <v>11322</v>
      </c>
    </row>
    <row r="398" spans="4:25">
      <c r="D398">
        <v>11353</v>
      </c>
      <c r="Y398">
        <v>11353</v>
      </c>
    </row>
    <row r="399" spans="4:25">
      <c r="D399">
        <v>11382</v>
      </c>
      <c r="Y399">
        <v>11382</v>
      </c>
    </row>
    <row r="400" spans="4:25">
      <c r="D400">
        <v>11413</v>
      </c>
      <c r="Y400">
        <v>11413</v>
      </c>
    </row>
    <row r="401" spans="4:25">
      <c r="D401">
        <v>11443</v>
      </c>
      <c r="Y401">
        <v>11443</v>
      </c>
    </row>
    <row r="402" spans="4:25">
      <c r="D402">
        <v>11474</v>
      </c>
      <c r="Y402">
        <v>11474</v>
      </c>
    </row>
    <row r="403" spans="4:25">
      <c r="D403">
        <v>11504</v>
      </c>
      <c r="Y403">
        <v>11504</v>
      </c>
    </row>
    <row r="404" spans="4:25">
      <c r="D404">
        <v>11535</v>
      </c>
      <c r="Y404">
        <v>11535</v>
      </c>
    </row>
    <row r="405" spans="4:25">
      <c r="D405">
        <v>11566</v>
      </c>
      <c r="Y405">
        <v>11566</v>
      </c>
    </row>
    <row r="406" spans="4:25">
      <c r="D406">
        <v>11596</v>
      </c>
      <c r="Y406">
        <v>11596</v>
      </c>
    </row>
    <row r="407" spans="4:25">
      <c r="D407">
        <v>11627</v>
      </c>
      <c r="Y407">
        <v>11627</v>
      </c>
    </row>
    <row r="408" spans="4:25">
      <c r="D408">
        <v>11657</v>
      </c>
      <c r="Y408">
        <v>11657</v>
      </c>
    </row>
    <row r="409" spans="4:25">
      <c r="D409">
        <v>11688</v>
      </c>
      <c r="Y409">
        <v>11688</v>
      </c>
    </row>
    <row r="410" spans="4:25">
      <c r="D410">
        <v>11719</v>
      </c>
      <c r="Y410">
        <v>11719</v>
      </c>
    </row>
    <row r="411" spans="4:25">
      <c r="D411">
        <v>11747</v>
      </c>
      <c r="Y411">
        <v>11747</v>
      </c>
    </row>
    <row r="412" spans="4:25">
      <c r="D412">
        <v>11778</v>
      </c>
      <c r="Y412">
        <v>11778</v>
      </c>
    </row>
    <row r="413" spans="4:25">
      <c r="D413">
        <v>11808</v>
      </c>
      <c r="Y413">
        <v>11808</v>
      </c>
    </row>
    <row r="414" spans="4:25">
      <c r="D414">
        <v>11839</v>
      </c>
      <c r="Y414">
        <v>11839</v>
      </c>
    </row>
    <row r="415" spans="4:25">
      <c r="D415">
        <v>11869</v>
      </c>
      <c r="Y415">
        <v>11869</v>
      </c>
    </row>
    <row r="416" spans="4:25">
      <c r="D416">
        <v>11900</v>
      </c>
      <c r="Y416">
        <v>11900</v>
      </c>
    </row>
    <row r="417" spans="4:25">
      <c r="D417">
        <v>11931</v>
      </c>
      <c r="Y417">
        <v>11931</v>
      </c>
    </row>
    <row r="418" spans="4:25">
      <c r="D418">
        <v>11961</v>
      </c>
      <c r="Y418">
        <v>11961</v>
      </c>
    </row>
    <row r="419" spans="4:25">
      <c r="D419">
        <v>11992</v>
      </c>
      <c r="Y419">
        <v>11992</v>
      </c>
    </row>
    <row r="420" spans="4:25">
      <c r="D420">
        <v>12022</v>
      </c>
      <c r="Y420">
        <v>12022</v>
      </c>
    </row>
    <row r="421" spans="4:25">
      <c r="D421">
        <v>12053</v>
      </c>
      <c r="Y421">
        <v>12053</v>
      </c>
    </row>
    <row r="422" spans="4:25">
      <c r="D422">
        <v>12084</v>
      </c>
      <c r="Y422">
        <v>12084</v>
      </c>
    </row>
    <row r="423" spans="4:25">
      <c r="D423">
        <v>12112</v>
      </c>
      <c r="Y423">
        <v>12112</v>
      </c>
    </row>
    <row r="424" spans="4:25">
      <c r="D424">
        <v>12143</v>
      </c>
      <c r="Y424">
        <v>12143</v>
      </c>
    </row>
    <row r="425" spans="4:25">
      <c r="D425">
        <v>12173</v>
      </c>
      <c r="Y425">
        <v>12173</v>
      </c>
    </row>
    <row r="426" spans="4:25">
      <c r="D426">
        <v>12204</v>
      </c>
      <c r="Y426">
        <v>12204</v>
      </c>
    </row>
    <row r="427" spans="4:25">
      <c r="D427">
        <v>12234</v>
      </c>
      <c r="Y427">
        <v>12234</v>
      </c>
    </row>
    <row r="428" spans="4:25">
      <c r="D428">
        <v>12265</v>
      </c>
      <c r="Y428">
        <v>12265</v>
      </c>
    </row>
    <row r="429" spans="4:25">
      <c r="D429">
        <v>12296</v>
      </c>
      <c r="Y429">
        <v>12296</v>
      </c>
    </row>
    <row r="430" spans="4:25">
      <c r="D430">
        <v>12326</v>
      </c>
      <c r="Y430">
        <v>12326</v>
      </c>
    </row>
    <row r="431" spans="4:25">
      <c r="D431">
        <v>12357</v>
      </c>
      <c r="Y431">
        <v>12357</v>
      </c>
    </row>
    <row r="432" spans="4:25">
      <c r="D432">
        <v>12387</v>
      </c>
      <c r="Y432">
        <v>12387</v>
      </c>
    </row>
    <row r="433" spans="4:25">
      <c r="D433">
        <v>12418</v>
      </c>
      <c r="Y433">
        <v>12418</v>
      </c>
    </row>
    <row r="434" spans="4:25">
      <c r="D434">
        <v>12449</v>
      </c>
      <c r="Y434">
        <v>12449</v>
      </c>
    </row>
    <row r="435" spans="4:25">
      <c r="D435">
        <v>12477</v>
      </c>
      <c r="Y435">
        <v>12477</v>
      </c>
    </row>
    <row r="436" spans="4:25">
      <c r="D436">
        <v>12508</v>
      </c>
      <c r="Y436">
        <v>12508</v>
      </c>
    </row>
    <row r="437" spans="4:25">
      <c r="D437">
        <v>12538</v>
      </c>
      <c r="Y437">
        <v>12538</v>
      </c>
    </row>
    <row r="438" spans="4:25">
      <c r="D438">
        <v>12569</v>
      </c>
      <c r="Y438">
        <v>12569</v>
      </c>
    </row>
    <row r="439" spans="4:25">
      <c r="D439">
        <v>12599</v>
      </c>
      <c r="Y439">
        <v>12599</v>
      </c>
    </row>
    <row r="440" spans="4:25">
      <c r="D440">
        <v>12630</v>
      </c>
      <c r="Y440">
        <v>12630</v>
      </c>
    </row>
    <row r="441" spans="4:25">
      <c r="D441">
        <v>12661</v>
      </c>
      <c r="Y441">
        <v>12661</v>
      </c>
    </row>
    <row r="442" spans="4:25">
      <c r="D442">
        <v>12691</v>
      </c>
      <c r="Y442">
        <v>12691</v>
      </c>
    </row>
    <row r="443" spans="4:25">
      <c r="D443">
        <v>12722</v>
      </c>
      <c r="Y443">
        <v>12722</v>
      </c>
    </row>
    <row r="444" spans="4:25">
      <c r="D444">
        <v>12752</v>
      </c>
      <c r="Y444">
        <v>12752</v>
      </c>
    </row>
    <row r="445" spans="4:25">
      <c r="D445">
        <v>12783</v>
      </c>
      <c r="Y445">
        <v>12783</v>
      </c>
    </row>
    <row r="446" spans="4:25">
      <c r="D446">
        <v>12814</v>
      </c>
      <c r="Y446">
        <v>12814</v>
      </c>
    </row>
    <row r="447" spans="4:25">
      <c r="D447">
        <v>12843</v>
      </c>
      <c r="Y447">
        <v>12843</v>
      </c>
    </row>
    <row r="448" spans="4:25">
      <c r="D448">
        <v>12874</v>
      </c>
      <c r="Y448">
        <v>12874</v>
      </c>
    </row>
    <row r="449" spans="4:25">
      <c r="D449">
        <v>12904</v>
      </c>
      <c r="Y449">
        <v>12904</v>
      </c>
    </row>
    <row r="450" spans="4:25">
      <c r="D450">
        <v>12935</v>
      </c>
      <c r="Y450">
        <v>12935</v>
      </c>
    </row>
    <row r="451" spans="4:25">
      <c r="D451">
        <v>12965</v>
      </c>
      <c r="Y451">
        <v>12965</v>
      </c>
    </row>
    <row r="452" spans="4:25">
      <c r="D452">
        <v>12996</v>
      </c>
      <c r="Y452">
        <v>12996</v>
      </c>
    </row>
    <row r="453" spans="4:25">
      <c r="D453">
        <v>13027</v>
      </c>
      <c r="Y453">
        <v>13027</v>
      </c>
    </row>
    <row r="454" spans="4:25">
      <c r="D454">
        <v>13057</v>
      </c>
      <c r="Y454">
        <v>13057</v>
      </c>
    </row>
    <row r="455" spans="4:25">
      <c r="D455">
        <v>13088</v>
      </c>
      <c r="Y455">
        <v>13088</v>
      </c>
    </row>
    <row r="456" spans="4:25">
      <c r="D456">
        <v>13118</v>
      </c>
      <c r="Y456">
        <v>13118</v>
      </c>
    </row>
    <row r="457" spans="4:25">
      <c r="D457">
        <v>13149</v>
      </c>
      <c r="Y457">
        <v>13149</v>
      </c>
    </row>
    <row r="458" spans="4:25">
      <c r="D458">
        <v>13180</v>
      </c>
      <c r="Y458">
        <v>13180</v>
      </c>
    </row>
    <row r="459" spans="4:25">
      <c r="D459">
        <v>13208</v>
      </c>
      <c r="Y459">
        <v>13208</v>
      </c>
    </row>
    <row r="460" spans="4:25">
      <c r="D460">
        <v>13239</v>
      </c>
      <c r="Y460">
        <v>13239</v>
      </c>
    </row>
    <row r="461" spans="4:25">
      <c r="D461">
        <v>13269</v>
      </c>
      <c r="Y461">
        <v>13269</v>
      </c>
    </row>
    <row r="462" spans="4:25">
      <c r="D462">
        <v>13300</v>
      </c>
      <c r="Y462">
        <v>13300</v>
      </c>
    </row>
    <row r="463" spans="4:25">
      <c r="D463">
        <v>13330</v>
      </c>
      <c r="Y463">
        <v>13330</v>
      </c>
    </row>
    <row r="464" spans="4:25">
      <c r="D464">
        <v>13361</v>
      </c>
      <c r="Y464">
        <v>13361</v>
      </c>
    </row>
    <row r="465" spans="4:25">
      <c r="D465">
        <v>13392</v>
      </c>
      <c r="Y465">
        <v>13392</v>
      </c>
    </row>
    <row r="466" spans="4:25">
      <c r="D466">
        <v>13422</v>
      </c>
      <c r="Y466">
        <v>13422</v>
      </c>
    </row>
    <row r="467" spans="4:25">
      <c r="D467">
        <v>13453</v>
      </c>
      <c r="Y467">
        <v>13453</v>
      </c>
    </row>
    <row r="468" spans="4:25">
      <c r="D468">
        <v>13483</v>
      </c>
      <c r="Y468">
        <v>13483</v>
      </c>
    </row>
    <row r="469" spans="4:25">
      <c r="D469">
        <v>13514</v>
      </c>
      <c r="Y469">
        <v>13514</v>
      </c>
    </row>
    <row r="470" spans="4:25">
      <c r="D470">
        <v>13545</v>
      </c>
      <c r="Y470">
        <v>13545</v>
      </c>
    </row>
    <row r="471" spans="4:25">
      <c r="D471">
        <v>13573</v>
      </c>
      <c r="Y471">
        <v>13573</v>
      </c>
    </row>
    <row r="472" spans="4:25">
      <c r="D472">
        <v>13604</v>
      </c>
      <c r="Y472">
        <v>13604</v>
      </c>
    </row>
    <row r="473" spans="4:25">
      <c r="D473">
        <v>13634</v>
      </c>
      <c r="Y473">
        <v>13634</v>
      </c>
    </row>
    <row r="474" spans="4:25">
      <c r="D474">
        <v>13665</v>
      </c>
      <c r="Y474">
        <v>13665</v>
      </c>
    </row>
    <row r="475" spans="4:25">
      <c r="D475">
        <v>13695</v>
      </c>
      <c r="Y475">
        <v>13695</v>
      </c>
    </row>
    <row r="476" spans="4:25">
      <c r="D476">
        <v>13726</v>
      </c>
      <c r="Y476">
        <v>13726</v>
      </c>
    </row>
    <row r="477" spans="4:25">
      <c r="D477">
        <v>13757</v>
      </c>
      <c r="Y477">
        <v>13757</v>
      </c>
    </row>
    <row r="478" spans="4:25">
      <c r="D478">
        <v>13787</v>
      </c>
      <c r="Y478">
        <v>13787</v>
      </c>
    </row>
    <row r="479" spans="4:25">
      <c r="D479">
        <v>13818</v>
      </c>
      <c r="Y479">
        <v>13818</v>
      </c>
    </row>
    <row r="480" spans="4:25">
      <c r="D480">
        <v>13848</v>
      </c>
      <c r="Y480">
        <v>13848</v>
      </c>
    </row>
    <row r="481" spans="4:25">
      <c r="D481">
        <v>13879</v>
      </c>
      <c r="Y481">
        <v>13879</v>
      </c>
    </row>
    <row r="482" spans="4:25">
      <c r="D482">
        <v>13910</v>
      </c>
      <c r="Y482">
        <v>13910</v>
      </c>
    </row>
    <row r="483" spans="4:25">
      <c r="D483">
        <v>13938</v>
      </c>
      <c r="Y483">
        <v>13938</v>
      </c>
    </row>
    <row r="484" spans="4:25">
      <c r="D484">
        <v>13969</v>
      </c>
      <c r="Y484">
        <v>13969</v>
      </c>
    </row>
    <row r="485" spans="4:25">
      <c r="D485">
        <v>13999</v>
      </c>
      <c r="Y485">
        <v>13999</v>
      </c>
    </row>
    <row r="486" spans="4:25">
      <c r="D486">
        <v>14030</v>
      </c>
      <c r="Y486">
        <v>14030</v>
      </c>
    </row>
    <row r="487" spans="4:25">
      <c r="D487">
        <v>14060</v>
      </c>
      <c r="Y487">
        <v>14060</v>
      </c>
    </row>
    <row r="488" spans="4:25">
      <c r="D488">
        <v>14091</v>
      </c>
      <c r="Y488">
        <v>14091</v>
      </c>
    </row>
    <row r="489" spans="4:25">
      <c r="D489">
        <v>14122</v>
      </c>
      <c r="Y489">
        <v>14122</v>
      </c>
    </row>
    <row r="490" spans="4:25">
      <c r="D490">
        <v>14152</v>
      </c>
      <c r="Y490">
        <v>14152</v>
      </c>
    </row>
    <row r="491" spans="4:25">
      <c r="D491">
        <v>14183</v>
      </c>
      <c r="Y491">
        <v>14183</v>
      </c>
    </row>
    <row r="492" spans="4:25">
      <c r="D492">
        <v>14213</v>
      </c>
      <c r="Y492">
        <v>14213</v>
      </c>
    </row>
    <row r="493" spans="4:25">
      <c r="D493">
        <v>14244</v>
      </c>
      <c r="Y493">
        <v>14244</v>
      </c>
    </row>
    <row r="494" spans="4:25">
      <c r="D494">
        <v>14275</v>
      </c>
      <c r="Y494">
        <v>14275</v>
      </c>
    </row>
    <row r="495" spans="4:25">
      <c r="D495">
        <v>14304</v>
      </c>
      <c r="Y495">
        <v>14304</v>
      </c>
    </row>
    <row r="496" spans="4:25">
      <c r="D496">
        <v>14335</v>
      </c>
      <c r="Y496">
        <v>14335</v>
      </c>
    </row>
    <row r="497" spans="4:25">
      <c r="D497">
        <v>14365</v>
      </c>
      <c r="Y497">
        <v>14365</v>
      </c>
    </row>
    <row r="498" spans="4:25">
      <c r="D498">
        <v>14396</v>
      </c>
      <c r="Y498">
        <v>14396</v>
      </c>
    </row>
    <row r="499" spans="4:25">
      <c r="D499">
        <v>14426</v>
      </c>
      <c r="Y499">
        <v>14426</v>
      </c>
    </row>
    <row r="500" spans="4:25">
      <c r="D500">
        <v>14457</v>
      </c>
      <c r="Y500">
        <v>14457</v>
      </c>
    </row>
    <row r="501" spans="4:25">
      <c r="D501">
        <v>14488</v>
      </c>
      <c r="Y501">
        <v>14488</v>
      </c>
    </row>
    <row r="502" spans="4:25">
      <c r="D502">
        <v>14518</v>
      </c>
      <c r="Y502">
        <v>14518</v>
      </c>
    </row>
    <row r="503" spans="4:25">
      <c r="D503">
        <v>14549</v>
      </c>
      <c r="Y503">
        <v>14549</v>
      </c>
    </row>
    <row r="504" spans="4:25">
      <c r="D504">
        <v>14579</v>
      </c>
      <c r="Y504">
        <v>14579</v>
      </c>
    </row>
    <row r="505" spans="4:25">
      <c r="D505">
        <v>14610</v>
      </c>
      <c r="Y505">
        <v>14610</v>
      </c>
    </row>
    <row r="506" spans="4:25">
      <c r="D506">
        <v>14641</v>
      </c>
      <c r="Y506">
        <v>14641</v>
      </c>
    </row>
    <row r="507" spans="4:25">
      <c r="D507">
        <v>14669</v>
      </c>
      <c r="Y507">
        <v>14669</v>
      </c>
    </row>
    <row r="508" spans="4:25">
      <c r="D508">
        <v>14700</v>
      </c>
      <c r="Y508">
        <v>14700</v>
      </c>
    </row>
    <row r="509" spans="4:25">
      <c r="D509">
        <v>14730</v>
      </c>
      <c r="Y509">
        <v>14730</v>
      </c>
    </row>
    <row r="510" spans="4:25">
      <c r="D510">
        <v>14761</v>
      </c>
      <c r="Y510">
        <v>14761</v>
      </c>
    </row>
    <row r="511" spans="4:25">
      <c r="D511">
        <v>14791</v>
      </c>
      <c r="Y511">
        <v>14791</v>
      </c>
    </row>
    <row r="512" spans="4:25">
      <c r="D512">
        <v>14822</v>
      </c>
      <c r="Y512">
        <v>14822</v>
      </c>
    </row>
    <row r="513" spans="4:25">
      <c r="D513">
        <v>14853</v>
      </c>
      <c r="Y513">
        <v>14853</v>
      </c>
    </row>
    <row r="514" spans="4:25">
      <c r="D514">
        <v>14883</v>
      </c>
      <c r="Y514">
        <v>14883</v>
      </c>
    </row>
    <row r="515" spans="4:25">
      <c r="D515">
        <v>14914</v>
      </c>
      <c r="Y515">
        <v>14914</v>
      </c>
    </row>
    <row r="516" spans="4:25">
      <c r="D516">
        <v>14944</v>
      </c>
      <c r="Y516">
        <v>14944</v>
      </c>
    </row>
    <row r="517" spans="4:25">
      <c r="D517">
        <v>14975</v>
      </c>
      <c r="Y517">
        <v>14975</v>
      </c>
    </row>
    <row r="518" spans="4:25">
      <c r="D518">
        <v>15006</v>
      </c>
      <c r="Y518">
        <v>15006</v>
      </c>
    </row>
    <row r="519" spans="4:25">
      <c r="D519">
        <v>15034</v>
      </c>
      <c r="Y519">
        <v>15034</v>
      </c>
    </row>
    <row r="520" spans="4:25">
      <c r="D520">
        <v>15065</v>
      </c>
      <c r="Y520">
        <v>15065</v>
      </c>
    </row>
    <row r="521" spans="4:25">
      <c r="D521">
        <v>15095</v>
      </c>
      <c r="Y521">
        <v>15095</v>
      </c>
    </row>
    <row r="522" spans="4:25">
      <c r="D522">
        <v>15126</v>
      </c>
      <c r="Y522">
        <v>15126</v>
      </c>
    </row>
    <row r="523" spans="4:25">
      <c r="D523">
        <v>15156</v>
      </c>
      <c r="Y523">
        <v>15156</v>
      </c>
    </row>
    <row r="524" spans="4:25">
      <c r="D524">
        <v>15187</v>
      </c>
      <c r="Y524">
        <v>15187</v>
      </c>
    </row>
    <row r="525" spans="4:25">
      <c r="D525">
        <v>15218</v>
      </c>
      <c r="Y525">
        <v>15218</v>
      </c>
    </row>
    <row r="526" spans="4:25">
      <c r="D526">
        <v>15248</v>
      </c>
      <c r="Y526">
        <v>15248</v>
      </c>
    </row>
    <row r="527" spans="4:25">
      <c r="D527">
        <v>15279</v>
      </c>
      <c r="Y527">
        <v>15279</v>
      </c>
    </row>
    <row r="528" spans="4:25">
      <c r="D528">
        <v>15309</v>
      </c>
      <c r="Y528">
        <v>15309</v>
      </c>
    </row>
    <row r="529" spans="4:25">
      <c r="D529">
        <v>15340</v>
      </c>
      <c r="Y529">
        <v>15340</v>
      </c>
    </row>
    <row r="530" spans="4:25">
      <c r="D530">
        <v>15371</v>
      </c>
      <c r="Y530">
        <v>15371</v>
      </c>
    </row>
    <row r="531" spans="4:25">
      <c r="D531">
        <v>15399</v>
      </c>
      <c r="Y531">
        <v>15399</v>
      </c>
    </row>
    <row r="532" spans="4:25">
      <c r="D532">
        <v>15430</v>
      </c>
      <c r="Y532">
        <v>15430</v>
      </c>
    </row>
    <row r="533" spans="4:25">
      <c r="D533">
        <v>15460</v>
      </c>
      <c r="Y533">
        <v>15460</v>
      </c>
    </row>
    <row r="534" spans="4:25">
      <c r="D534">
        <v>15491</v>
      </c>
      <c r="Y534">
        <v>15491</v>
      </c>
    </row>
    <row r="535" spans="4:25">
      <c r="D535">
        <v>15521</v>
      </c>
      <c r="Y535">
        <v>15521</v>
      </c>
    </row>
    <row r="536" spans="4:25">
      <c r="D536">
        <v>15552</v>
      </c>
      <c r="Y536">
        <v>15552</v>
      </c>
    </row>
    <row r="537" spans="4:25">
      <c r="D537">
        <v>15583</v>
      </c>
      <c r="Y537">
        <v>15583</v>
      </c>
    </row>
    <row r="538" spans="4:25">
      <c r="D538">
        <v>15613</v>
      </c>
      <c r="Y538">
        <v>15613</v>
      </c>
    </row>
    <row r="539" spans="4:25">
      <c r="D539">
        <v>15644</v>
      </c>
      <c r="Y539">
        <v>15644</v>
      </c>
    </row>
    <row r="540" spans="4:25">
      <c r="D540">
        <v>15674</v>
      </c>
      <c r="Y540">
        <v>15674</v>
      </c>
    </row>
    <row r="541" spans="4:25">
      <c r="D541">
        <v>15705</v>
      </c>
      <c r="Y541">
        <v>15705</v>
      </c>
    </row>
    <row r="542" spans="4:25">
      <c r="D542">
        <v>15736</v>
      </c>
      <c r="Y542">
        <v>15736</v>
      </c>
    </row>
    <row r="543" spans="4:25">
      <c r="D543">
        <v>15765</v>
      </c>
      <c r="Y543">
        <v>15765</v>
      </c>
    </row>
    <row r="544" spans="4:25">
      <c r="D544">
        <v>15796</v>
      </c>
      <c r="Y544">
        <v>15796</v>
      </c>
    </row>
    <row r="545" spans="4:25">
      <c r="D545">
        <v>15826</v>
      </c>
      <c r="Y545">
        <v>15826</v>
      </c>
    </row>
    <row r="546" spans="4:25">
      <c r="D546">
        <v>15857</v>
      </c>
      <c r="Y546">
        <v>15857</v>
      </c>
    </row>
    <row r="547" spans="4:25">
      <c r="D547">
        <v>15887</v>
      </c>
      <c r="Y547">
        <v>15887</v>
      </c>
    </row>
    <row r="548" spans="4:25">
      <c r="D548">
        <v>15918</v>
      </c>
      <c r="Y548">
        <v>15918</v>
      </c>
    </row>
    <row r="549" spans="4:25">
      <c r="D549">
        <v>15949</v>
      </c>
      <c r="Y549">
        <v>15949</v>
      </c>
    </row>
    <row r="550" spans="4:25">
      <c r="D550">
        <v>15979</v>
      </c>
      <c r="Y550">
        <v>15979</v>
      </c>
    </row>
    <row r="551" spans="4:25">
      <c r="D551">
        <v>16010</v>
      </c>
      <c r="Y551">
        <v>16010</v>
      </c>
    </row>
    <row r="552" spans="4:25">
      <c r="D552">
        <v>16040</v>
      </c>
      <c r="Y552">
        <v>16040</v>
      </c>
    </row>
    <row r="553" spans="4:25">
      <c r="D553">
        <v>16071</v>
      </c>
      <c r="Y553">
        <v>16071</v>
      </c>
    </row>
    <row r="554" spans="4:25">
      <c r="D554">
        <v>16102</v>
      </c>
      <c r="Y554">
        <v>16102</v>
      </c>
    </row>
    <row r="555" spans="4:25">
      <c r="D555">
        <v>16130</v>
      </c>
      <c r="Y555">
        <v>16130</v>
      </c>
    </row>
    <row r="556" spans="4:25">
      <c r="D556">
        <v>16161</v>
      </c>
      <c r="Y556">
        <v>16161</v>
      </c>
    </row>
    <row r="557" spans="4:25">
      <c r="D557">
        <v>16191</v>
      </c>
      <c r="Y557">
        <v>16191</v>
      </c>
    </row>
    <row r="558" spans="4:25">
      <c r="D558">
        <v>16222</v>
      </c>
      <c r="Y558">
        <v>16222</v>
      </c>
    </row>
    <row r="559" spans="4:25">
      <c r="D559">
        <v>16252</v>
      </c>
      <c r="Y559">
        <v>16252</v>
      </c>
    </row>
    <row r="560" spans="4:25">
      <c r="D560">
        <v>16283</v>
      </c>
      <c r="Y560">
        <v>16283</v>
      </c>
    </row>
    <row r="561" spans="4:25">
      <c r="D561">
        <v>16314</v>
      </c>
      <c r="Y561">
        <v>16314</v>
      </c>
    </row>
    <row r="562" spans="4:25">
      <c r="D562">
        <v>16344</v>
      </c>
      <c r="Y562">
        <v>16344</v>
      </c>
    </row>
    <row r="563" spans="4:25">
      <c r="D563">
        <v>16375</v>
      </c>
      <c r="Y563">
        <v>16375</v>
      </c>
    </row>
    <row r="564" spans="4:25">
      <c r="D564">
        <v>16405</v>
      </c>
      <c r="Y564">
        <v>16405</v>
      </c>
    </row>
    <row r="565" spans="4:25">
      <c r="D565">
        <v>16436</v>
      </c>
      <c r="Y565">
        <v>16436</v>
      </c>
    </row>
    <row r="566" spans="4:25">
      <c r="D566">
        <v>16467</v>
      </c>
      <c r="Y566">
        <v>16467</v>
      </c>
    </row>
    <row r="567" spans="4:25">
      <c r="D567">
        <v>16495</v>
      </c>
      <c r="Y567">
        <v>16495</v>
      </c>
    </row>
    <row r="568" spans="4:25">
      <c r="D568">
        <v>16526</v>
      </c>
      <c r="Y568">
        <v>16526</v>
      </c>
    </row>
    <row r="569" spans="4:25">
      <c r="D569">
        <v>16556</v>
      </c>
      <c r="Y569">
        <v>16556</v>
      </c>
    </row>
    <row r="570" spans="4:25">
      <c r="D570">
        <v>16587</v>
      </c>
      <c r="Y570">
        <v>16587</v>
      </c>
    </row>
    <row r="571" spans="4:25">
      <c r="D571">
        <v>16617</v>
      </c>
      <c r="Y571">
        <v>16617</v>
      </c>
    </row>
    <row r="572" spans="4:25">
      <c r="D572">
        <v>16648</v>
      </c>
      <c r="Y572">
        <v>16648</v>
      </c>
    </row>
    <row r="573" spans="4:25">
      <c r="D573">
        <v>16679</v>
      </c>
      <c r="Y573">
        <v>16679</v>
      </c>
    </row>
    <row r="574" spans="4:25">
      <c r="D574">
        <v>16709</v>
      </c>
      <c r="Y574">
        <v>16709</v>
      </c>
    </row>
    <row r="575" spans="4:25">
      <c r="D575">
        <v>16740</v>
      </c>
      <c r="Y575">
        <v>16740</v>
      </c>
    </row>
    <row r="576" spans="4:25">
      <c r="D576">
        <v>16770</v>
      </c>
      <c r="Y576">
        <v>16770</v>
      </c>
    </row>
    <row r="577" spans="4:25">
      <c r="D577">
        <v>16801</v>
      </c>
      <c r="Y577">
        <v>16801</v>
      </c>
    </row>
    <row r="578" spans="4:25">
      <c r="D578">
        <v>16832</v>
      </c>
      <c r="Y578">
        <v>16832</v>
      </c>
    </row>
    <row r="579" spans="4:25">
      <c r="D579">
        <v>16860</v>
      </c>
      <c r="Y579">
        <v>16860</v>
      </c>
    </row>
    <row r="580" spans="4:25">
      <c r="D580">
        <v>16891</v>
      </c>
      <c r="Y580">
        <v>16891</v>
      </c>
    </row>
    <row r="581" spans="4:25">
      <c r="D581">
        <v>16921</v>
      </c>
      <c r="Y581">
        <v>16921</v>
      </c>
    </row>
    <row r="582" spans="4:25">
      <c r="D582">
        <v>16952</v>
      </c>
      <c r="Y582">
        <v>16952</v>
      </c>
    </row>
    <row r="583" spans="4:25">
      <c r="D583">
        <v>16982</v>
      </c>
      <c r="Y583">
        <v>16982</v>
      </c>
    </row>
    <row r="584" spans="4:25">
      <c r="D584">
        <v>17013</v>
      </c>
      <c r="Y584">
        <v>17013</v>
      </c>
    </row>
    <row r="585" spans="4:25">
      <c r="D585">
        <v>17044</v>
      </c>
      <c r="Y585">
        <v>17044</v>
      </c>
    </row>
    <row r="586" spans="4:25">
      <c r="D586">
        <v>17074</v>
      </c>
      <c r="Y586">
        <v>17074</v>
      </c>
    </row>
    <row r="587" spans="4:25">
      <c r="D587">
        <v>17105</v>
      </c>
      <c r="Y587">
        <v>17105</v>
      </c>
    </row>
    <row r="588" spans="4:25">
      <c r="D588">
        <v>17135</v>
      </c>
      <c r="Y588">
        <v>17135</v>
      </c>
    </row>
    <row r="589" spans="4:25">
      <c r="D589">
        <v>17166</v>
      </c>
      <c r="Y589">
        <v>17166</v>
      </c>
    </row>
    <row r="590" spans="4:25">
      <c r="D590">
        <v>17197</v>
      </c>
      <c r="Y590">
        <v>17197</v>
      </c>
    </row>
    <row r="591" spans="4:25">
      <c r="D591">
        <v>17226</v>
      </c>
      <c r="Y591">
        <v>17226</v>
      </c>
    </row>
    <row r="592" spans="4:25">
      <c r="D592">
        <v>17257</v>
      </c>
      <c r="Y592">
        <v>17257</v>
      </c>
    </row>
    <row r="593" spans="4:25">
      <c r="D593">
        <v>17287</v>
      </c>
      <c r="Y593">
        <v>17287</v>
      </c>
    </row>
    <row r="594" spans="4:25">
      <c r="D594">
        <v>17318</v>
      </c>
      <c r="Y594">
        <v>17318</v>
      </c>
    </row>
    <row r="595" spans="4:25">
      <c r="D595">
        <v>17348</v>
      </c>
      <c r="Y595">
        <v>17348</v>
      </c>
    </row>
    <row r="596" spans="4:25">
      <c r="D596">
        <v>17379</v>
      </c>
      <c r="Y596">
        <v>17379</v>
      </c>
    </row>
    <row r="597" spans="4:25">
      <c r="D597">
        <v>17410</v>
      </c>
      <c r="Y597">
        <v>17410</v>
      </c>
    </row>
    <row r="598" spans="4:25">
      <c r="D598">
        <v>17440</v>
      </c>
      <c r="Y598">
        <v>17440</v>
      </c>
    </row>
    <row r="599" spans="4:25">
      <c r="D599">
        <v>17471</v>
      </c>
      <c r="Y599">
        <v>17471</v>
      </c>
    </row>
    <row r="600" spans="4:25">
      <c r="D600">
        <v>17501</v>
      </c>
      <c r="Y600">
        <v>17501</v>
      </c>
    </row>
    <row r="601" spans="4:25">
      <c r="D601">
        <v>17532</v>
      </c>
      <c r="Y601">
        <v>17532</v>
      </c>
    </row>
    <row r="602" spans="4:25">
      <c r="D602">
        <v>17563</v>
      </c>
      <c r="Y602">
        <v>17563</v>
      </c>
    </row>
    <row r="603" spans="4:25">
      <c r="D603">
        <v>17591</v>
      </c>
      <c r="Y603">
        <v>17591</v>
      </c>
    </row>
    <row r="604" spans="4:25">
      <c r="D604">
        <v>17622</v>
      </c>
      <c r="Y604">
        <v>17622</v>
      </c>
    </row>
    <row r="605" spans="4:25">
      <c r="D605">
        <v>17652</v>
      </c>
      <c r="Y605">
        <v>17652</v>
      </c>
    </row>
    <row r="606" spans="4:25">
      <c r="D606">
        <v>17683</v>
      </c>
      <c r="Y606">
        <v>17683</v>
      </c>
    </row>
    <row r="607" spans="4:25">
      <c r="D607">
        <v>17713</v>
      </c>
      <c r="Y607">
        <v>17713</v>
      </c>
    </row>
    <row r="608" spans="4:25">
      <c r="D608">
        <v>17744</v>
      </c>
      <c r="Y608">
        <v>17744</v>
      </c>
    </row>
    <row r="609" spans="4:25">
      <c r="D609">
        <v>17775</v>
      </c>
      <c r="Y609">
        <v>17775</v>
      </c>
    </row>
    <row r="610" spans="4:25">
      <c r="D610">
        <v>17805</v>
      </c>
      <c r="Y610">
        <v>17805</v>
      </c>
    </row>
    <row r="611" spans="4:25">
      <c r="D611">
        <v>17836</v>
      </c>
      <c r="Y611">
        <v>17836</v>
      </c>
    </row>
    <row r="612" spans="4:25">
      <c r="D612">
        <v>17866</v>
      </c>
      <c r="Y612">
        <v>17866</v>
      </c>
    </row>
    <row r="613" spans="4:25">
      <c r="D613">
        <v>17897</v>
      </c>
      <c r="Y613">
        <v>17897</v>
      </c>
    </row>
    <row r="614" spans="4:25">
      <c r="D614">
        <v>17928</v>
      </c>
      <c r="Y614">
        <v>17928</v>
      </c>
    </row>
    <row r="615" spans="4:25">
      <c r="D615">
        <v>17956</v>
      </c>
      <c r="Y615">
        <v>17956</v>
      </c>
    </row>
    <row r="616" spans="4:25">
      <c r="D616">
        <v>17987</v>
      </c>
      <c r="Y616">
        <v>17987</v>
      </c>
    </row>
    <row r="617" spans="4:25">
      <c r="D617">
        <v>18017</v>
      </c>
      <c r="Y617">
        <v>18017</v>
      </c>
    </row>
    <row r="618" spans="4:25">
      <c r="D618">
        <v>18048</v>
      </c>
      <c r="Y618">
        <v>18048</v>
      </c>
    </row>
    <row r="619" spans="4:25">
      <c r="D619">
        <v>18078</v>
      </c>
      <c r="Y619">
        <v>18078</v>
      </c>
    </row>
    <row r="620" spans="4:25">
      <c r="D620">
        <v>18109</v>
      </c>
      <c r="Y620">
        <v>18109</v>
      </c>
    </row>
    <row r="621" spans="4:25">
      <c r="D621">
        <v>18140</v>
      </c>
      <c r="Y621">
        <v>18140</v>
      </c>
    </row>
    <row r="622" spans="4:25">
      <c r="D622">
        <v>18170</v>
      </c>
      <c r="Y622">
        <v>18170</v>
      </c>
    </row>
    <row r="623" spans="4:25">
      <c r="D623">
        <v>18201</v>
      </c>
      <c r="Y623">
        <v>18201</v>
      </c>
    </row>
    <row r="624" spans="4:25">
      <c r="D624">
        <v>18231</v>
      </c>
      <c r="Y624">
        <v>18231</v>
      </c>
    </row>
    <row r="625" spans="4:25">
      <c r="D625">
        <v>18262</v>
      </c>
      <c r="Y625">
        <v>18262</v>
      </c>
    </row>
    <row r="626" spans="4:25">
      <c r="D626">
        <v>18293</v>
      </c>
      <c r="Y626">
        <v>18293</v>
      </c>
    </row>
    <row r="627" spans="4:25">
      <c r="D627">
        <v>18321</v>
      </c>
      <c r="Y627">
        <v>18321</v>
      </c>
    </row>
    <row r="628" spans="4:25">
      <c r="D628">
        <v>18352</v>
      </c>
      <c r="Y628">
        <v>18352</v>
      </c>
    </row>
    <row r="629" spans="4:25">
      <c r="D629">
        <v>18382</v>
      </c>
      <c r="Y629">
        <v>18382</v>
      </c>
    </row>
    <row r="630" spans="4:25">
      <c r="D630">
        <v>18413</v>
      </c>
      <c r="Y630">
        <v>18413</v>
      </c>
    </row>
    <row r="631" spans="4:25">
      <c r="D631">
        <v>18443</v>
      </c>
      <c r="Y631">
        <v>18443</v>
      </c>
    </row>
    <row r="632" spans="4:25">
      <c r="D632">
        <v>18474</v>
      </c>
      <c r="Y632">
        <v>18474</v>
      </c>
    </row>
    <row r="633" spans="4:25">
      <c r="D633">
        <v>18505</v>
      </c>
      <c r="Y633">
        <v>18505</v>
      </c>
    </row>
    <row r="634" spans="4:25">
      <c r="D634">
        <v>18535</v>
      </c>
      <c r="Y634">
        <v>18535</v>
      </c>
    </row>
    <row r="635" spans="4:25">
      <c r="D635">
        <v>18566</v>
      </c>
      <c r="Y635">
        <v>18566</v>
      </c>
    </row>
    <row r="636" spans="4:25">
      <c r="D636">
        <v>18596</v>
      </c>
      <c r="Y636">
        <v>18596</v>
      </c>
    </row>
    <row r="637" spans="4:25">
      <c r="D637">
        <v>18627</v>
      </c>
      <c r="Y637">
        <v>18627</v>
      </c>
    </row>
    <row r="638" spans="4:25">
      <c r="D638">
        <v>18658</v>
      </c>
      <c r="Y638">
        <v>18658</v>
      </c>
    </row>
    <row r="639" spans="4:25">
      <c r="D639">
        <v>18687</v>
      </c>
      <c r="Y639">
        <v>18687</v>
      </c>
    </row>
    <row r="640" spans="4:25">
      <c r="D640">
        <v>18718</v>
      </c>
      <c r="Y640">
        <v>18718</v>
      </c>
    </row>
    <row r="641" spans="4:25">
      <c r="D641">
        <v>18748</v>
      </c>
      <c r="Y641">
        <v>18748</v>
      </c>
    </row>
    <row r="642" spans="4:25">
      <c r="D642">
        <v>18779</v>
      </c>
      <c r="Y642">
        <v>18779</v>
      </c>
    </row>
    <row r="643" spans="4:25">
      <c r="D643">
        <v>18809</v>
      </c>
      <c r="Y643">
        <v>18809</v>
      </c>
    </row>
    <row r="644" spans="4:25">
      <c r="D644">
        <v>18840</v>
      </c>
      <c r="Y644">
        <v>18840</v>
      </c>
    </row>
    <row r="645" spans="4:25">
      <c r="D645">
        <v>18871</v>
      </c>
      <c r="Y645">
        <v>18871</v>
      </c>
    </row>
    <row r="646" spans="4:25">
      <c r="D646">
        <v>18901</v>
      </c>
      <c r="Y646">
        <v>18901</v>
      </c>
    </row>
    <row r="647" spans="4:25">
      <c r="D647">
        <v>18932</v>
      </c>
      <c r="Y647">
        <v>18932</v>
      </c>
    </row>
    <row r="648" spans="4:25">
      <c r="D648">
        <v>18962</v>
      </c>
      <c r="Y648">
        <v>18962</v>
      </c>
    </row>
    <row r="649" spans="4:25">
      <c r="D649">
        <v>18993</v>
      </c>
      <c r="Y649">
        <v>18993</v>
      </c>
    </row>
    <row r="650" spans="4:25">
      <c r="D650">
        <v>19024</v>
      </c>
      <c r="Y650">
        <v>19024</v>
      </c>
    </row>
    <row r="651" spans="4:25">
      <c r="D651">
        <v>19052</v>
      </c>
      <c r="Y651">
        <v>19052</v>
      </c>
    </row>
    <row r="652" spans="4:25">
      <c r="D652">
        <v>19083</v>
      </c>
      <c r="Y652">
        <v>19083</v>
      </c>
    </row>
    <row r="653" spans="4:25">
      <c r="D653">
        <v>19113</v>
      </c>
      <c r="Y653">
        <v>19113</v>
      </c>
    </row>
    <row r="654" spans="4:25">
      <c r="D654">
        <v>19144</v>
      </c>
      <c r="Y654">
        <v>19144</v>
      </c>
    </row>
    <row r="655" spans="4:25">
      <c r="D655">
        <v>19174</v>
      </c>
      <c r="Y655">
        <v>19174</v>
      </c>
    </row>
    <row r="656" spans="4:25">
      <c r="D656">
        <v>19205</v>
      </c>
      <c r="Y656">
        <v>19205</v>
      </c>
    </row>
    <row r="657" spans="4:25">
      <c r="D657">
        <v>19236</v>
      </c>
      <c r="Y657">
        <v>19236</v>
      </c>
    </row>
    <row r="658" spans="4:25">
      <c r="D658">
        <v>19266</v>
      </c>
      <c r="Y658">
        <v>19266</v>
      </c>
    </row>
    <row r="659" spans="4:25">
      <c r="D659">
        <v>19297</v>
      </c>
      <c r="Y659">
        <v>19297</v>
      </c>
    </row>
    <row r="660" spans="4:25">
      <c r="D660">
        <v>19327</v>
      </c>
      <c r="Y660">
        <v>19327</v>
      </c>
    </row>
    <row r="661" spans="4:25">
      <c r="D661">
        <v>19358</v>
      </c>
      <c r="Y661">
        <v>19358</v>
      </c>
    </row>
    <row r="662" spans="4:25">
      <c r="D662">
        <v>19389</v>
      </c>
      <c r="Y662">
        <v>19389</v>
      </c>
    </row>
    <row r="663" spans="4:25">
      <c r="D663">
        <v>19417</v>
      </c>
      <c r="Y663">
        <v>19417</v>
      </c>
    </row>
    <row r="664" spans="4:25">
      <c r="D664">
        <v>19448</v>
      </c>
      <c r="Y664">
        <v>19448</v>
      </c>
    </row>
    <row r="665" spans="4:25">
      <c r="D665">
        <v>19478</v>
      </c>
      <c r="Y665">
        <v>19478</v>
      </c>
    </row>
    <row r="666" spans="4:25">
      <c r="D666">
        <v>19509</v>
      </c>
      <c r="Y666">
        <v>19509</v>
      </c>
    </row>
    <row r="667" spans="4:25">
      <c r="D667">
        <v>19539</v>
      </c>
      <c r="Y667">
        <v>19539</v>
      </c>
    </row>
    <row r="668" spans="4:25">
      <c r="D668">
        <v>19570</v>
      </c>
      <c r="Y668">
        <v>19570</v>
      </c>
    </row>
    <row r="669" spans="4:25">
      <c r="D669">
        <v>19601</v>
      </c>
      <c r="Y669">
        <v>19601</v>
      </c>
    </row>
    <row r="670" spans="4:25">
      <c r="D670">
        <v>19631</v>
      </c>
      <c r="Y670">
        <v>19631</v>
      </c>
    </row>
    <row r="671" spans="4:25">
      <c r="D671">
        <v>19662</v>
      </c>
      <c r="Y671">
        <v>19662</v>
      </c>
    </row>
    <row r="672" spans="4:25">
      <c r="D672">
        <v>19692</v>
      </c>
      <c r="Y672">
        <v>19692</v>
      </c>
    </row>
    <row r="673" spans="4:25">
      <c r="D673">
        <v>19723</v>
      </c>
      <c r="Y673">
        <v>19723</v>
      </c>
    </row>
    <row r="674" spans="4:25">
      <c r="D674">
        <v>19754</v>
      </c>
      <c r="Y674">
        <v>19754</v>
      </c>
    </row>
    <row r="675" spans="4:25">
      <c r="D675">
        <v>19782</v>
      </c>
      <c r="Y675">
        <v>19782</v>
      </c>
    </row>
    <row r="676" spans="4:25">
      <c r="D676">
        <v>19813</v>
      </c>
      <c r="Y676">
        <v>19813</v>
      </c>
    </row>
    <row r="677" spans="4:25">
      <c r="D677">
        <v>19843</v>
      </c>
      <c r="Y677">
        <v>19843</v>
      </c>
    </row>
    <row r="678" spans="4:25">
      <c r="D678">
        <v>19874</v>
      </c>
      <c r="Y678">
        <v>19874</v>
      </c>
    </row>
    <row r="679" spans="4:25">
      <c r="D679">
        <v>19904</v>
      </c>
      <c r="Y679">
        <v>19904</v>
      </c>
    </row>
    <row r="680" spans="4:25">
      <c r="D680">
        <v>19935</v>
      </c>
      <c r="Y680">
        <v>19935</v>
      </c>
    </row>
    <row r="681" spans="4:25">
      <c r="D681">
        <v>19966</v>
      </c>
      <c r="Y681">
        <v>19966</v>
      </c>
    </row>
    <row r="682" spans="4:25">
      <c r="D682">
        <v>19996</v>
      </c>
      <c r="Y682">
        <v>19996</v>
      </c>
    </row>
    <row r="683" spans="4:25">
      <c r="D683">
        <v>20027</v>
      </c>
      <c r="Y683">
        <v>20027</v>
      </c>
    </row>
    <row r="684" spans="4:25">
      <c r="D684">
        <v>20057</v>
      </c>
      <c r="Y684">
        <v>20057</v>
      </c>
    </row>
    <row r="685" spans="4:25">
      <c r="D685">
        <v>20088</v>
      </c>
      <c r="Y685">
        <v>20088</v>
      </c>
    </row>
    <row r="686" spans="4:25">
      <c r="D686">
        <v>20119</v>
      </c>
      <c r="Y686">
        <v>20119</v>
      </c>
    </row>
    <row r="687" spans="4:25">
      <c r="D687">
        <v>20148</v>
      </c>
      <c r="Y687">
        <v>20148</v>
      </c>
    </row>
    <row r="688" spans="4:25">
      <c r="D688">
        <v>20179</v>
      </c>
      <c r="Y688">
        <v>20179</v>
      </c>
    </row>
    <row r="689" spans="4:25">
      <c r="D689">
        <v>20209</v>
      </c>
      <c r="Y689">
        <v>20209</v>
      </c>
    </row>
    <row r="690" spans="4:25">
      <c r="D690">
        <v>20240</v>
      </c>
      <c r="Y690">
        <v>20240</v>
      </c>
    </row>
    <row r="691" spans="4:25">
      <c r="D691">
        <v>20270</v>
      </c>
      <c r="Y691">
        <v>20270</v>
      </c>
    </row>
    <row r="692" spans="4:25">
      <c r="D692">
        <v>20301</v>
      </c>
      <c r="Y692">
        <v>20301</v>
      </c>
    </row>
    <row r="693" spans="4:25">
      <c r="D693">
        <v>20332</v>
      </c>
      <c r="Y693">
        <v>20332</v>
      </c>
    </row>
    <row r="694" spans="4:25">
      <c r="D694">
        <v>20362</v>
      </c>
      <c r="Y694">
        <v>20362</v>
      </c>
    </row>
    <row r="695" spans="4:25">
      <c r="D695">
        <v>20393</v>
      </c>
      <c r="Y695">
        <v>20393</v>
      </c>
    </row>
    <row r="696" spans="4:25">
      <c r="D696">
        <v>20423</v>
      </c>
      <c r="Y696">
        <v>20423</v>
      </c>
    </row>
    <row r="697" spans="4:25">
      <c r="D697">
        <v>20454</v>
      </c>
      <c r="Y697">
        <v>20454</v>
      </c>
    </row>
    <row r="698" spans="4:25">
      <c r="D698">
        <v>20485</v>
      </c>
      <c r="Y698">
        <v>20485</v>
      </c>
    </row>
    <row r="699" spans="4:25">
      <c r="D699">
        <v>20513</v>
      </c>
      <c r="Y699">
        <v>20513</v>
      </c>
    </row>
    <row r="700" spans="4:25">
      <c r="D700">
        <v>20544</v>
      </c>
      <c r="Y700">
        <v>20544</v>
      </c>
    </row>
    <row r="701" spans="4:25">
      <c r="D701">
        <v>20574</v>
      </c>
      <c r="Y701">
        <v>20574</v>
      </c>
    </row>
    <row r="702" spans="4:25">
      <c r="D702">
        <v>20605</v>
      </c>
      <c r="Y702">
        <v>20605</v>
      </c>
    </row>
    <row r="703" spans="4:25">
      <c r="D703">
        <v>20635</v>
      </c>
      <c r="Y703">
        <v>20635</v>
      </c>
    </row>
    <row r="704" spans="4:25">
      <c r="D704">
        <v>20666</v>
      </c>
      <c r="Y704">
        <v>20666</v>
      </c>
    </row>
    <row r="705" spans="4:25">
      <c r="D705">
        <v>20697</v>
      </c>
      <c r="Y705">
        <v>20697</v>
      </c>
    </row>
    <row r="706" spans="4:25">
      <c r="D706">
        <v>20727</v>
      </c>
      <c r="Y706">
        <v>20727</v>
      </c>
    </row>
    <row r="707" spans="4:25">
      <c r="D707">
        <v>20758</v>
      </c>
      <c r="Y707">
        <v>20758</v>
      </c>
    </row>
    <row r="708" spans="4:25">
      <c r="D708">
        <v>20788</v>
      </c>
      <c r="Y708">
        <v>20788</v>
      </c>
    </row>
    <row r="709" spans="4:25">
      <c r="D709">
        <v>20819</v>
      </c>
      <c r="Y709">
        <v>20819</v>
      </c>
    </row>
    <row r="710" spans="4:25">
      <c r="D710">
        <v>20850</v>
      </c>
      <c r="Y710">
        <v>20850</v>
      </c>
    </row>
    <row r="711" spans="4:25">
      <c r="D711">
        <v>20878</v>
      </c>
      <c r="Y711">
        <v>20878</v>
      </c>
    </row>
    <row r="712" spans="4:25">
      <c r="D712">
        <v>20909</v>
      </c>
      <c r="Y712">
        <v>20909</v>
      </c>
    </row>
    <row r="713" spans="4:25">
      <c r="D713">
        <v>20939</v>
      </c>
      <c r="Y713">
        <v>20939</v>
      </c>
    </row>
    <row r="714" spans="4:25">
      <c r="D714">
        <v>20970</v>
      </c>
      <c r="Y714">
        <v>20970</v>
      </c>
    </row>
    <row r="715" spans="4:25">
      <c r="D715">
        <v>21000</v>
      </c>
      <c r="Y715">
        <v>21000</v>
      </c>
    </row>
    <row r="716" spans="4:25">
      <c r="D716">
        <v>21031</v>
      </c>
      <c r="Y716">
        <v>21031</v>
      </c>
    </row>
    <row r="717" spans="4:25">
      <c r="D717">
        <v>21062</v>
      </c>
      <c r="Y717">
        <v>21062</v>
      </c>
    </row>
    <row r="718" spans="4:25">
      <c r="D718">
        <v>21092</v>
      </c>
      <c r="Y718">
        <v>21092</v>
      </c>
    </row>
    <row r="719" spans="4:25">
      <c r="D719">
        <v>21123</v>
      </c>
      <c r="Y719">
        <v>21123</v>
      </c>
    </row>
    <row r="720" spans="4:25">
      <c r="D720">
        <v>21153</v>
      </c>
      <c r="Y720">
        <v>21153</v>
      </c>
    </row>
    <row r="721" spans="4:25">
      <c r="D721">
        <v>21184</v>
      </c>
      <c r="Y721">
        <v>21184</v>
      </c>
    </row>
    <row r="722" spans="4:25">
      <c r="D722">
        <v>21215</v>
      </c>
      <c r="Y722">
        <v>21215</v>
      </c>
    </row>
    <row r="723" spans="4:25">
      <c r="D723">
        <v>21243</v>
      </c>
      <c r="Y723">
        <v>21243</v>
      </c>
    </row>
    <row r="724" spans="4:25">
      <c r="D724">
        <v>21274</v>
      </c>
      <c r="Y724">
        <v>21274</v>
      </c>
    </row>
    <row r="725" spans="4:25">
      <c r="D725">
        <v>21304</v>
      </c>
      <c r="Y725">
        <v>21304</v>
      </c>
    </row>
    <row r="726" spans="4:25">
      <c r="D726">
        <v>21335</v>
      </c>
      <c r="Y726">
        <v>21335</v>
      </c>
    </row>
    <row r="727" spans="4:25">
      <c r="D727">
        <v>21365</v>
      </c>
      <c r="Y727">
        <v>21365</v>
      </c>
    </row>
    <row r="728" spans="4:25">
      <c r="D728">
        <v>21396</v>
      </c>
      <c r="Y728">
        <v>21396</v>
      </c>
    </row>
    <row r="729" spans="4:25">
      <c r="D729">
        <v>21427</v>
      </c>
      <c r="Y729">
        <v>21427</v>
      </c>
    </row>
    <row r="730" spans="4:25">
      <c r="D730">
        <v>21457</v>
      </c>
      <c r="Y730">
        <v>21457</v>
      </c>
    </row>
    <row r="731" spans="4:25">
      <c r="D731">
        <v>21488</v>
      </c>
      <c r="Y731">
        <v>21488</v>
      </c>
    </row>
    <row r="732" spans="4:25">
      <c r="D732">
        <v>21518</v>
      </c>
      <c r="Y732">
        <v>21518</v>
      </c>
    </row>
    <row r="733" spans="4:25">
      <c r="D733">
        <v>21549</v>
      </c>
      <c r="Y733">
        <v>21549</v>
      </c>
    </row>
    <row r="734" spans="4:25">
      <c r="D734">
        <v>21580</v>
      </c>
      <c r="Y734">
        <v>21580</v>
      </c>
    </row>
    <row r="735" spans="4:25">
      <c r="D735">
        <v>21609</v>
      </c>
      <c r="Y735">
        <v>21609</v>
      </c>
    </row>
    <row r="736" spans="4:25">
      <c r="D736">
        <v>21640</v>
      </c>
      <c r="Y736">
        <v>21640</v>
      </c>
    </row>
    <row r="737" spans="4:25">
      <c r="D737">
        <v>21670</v>
      </c>
      <c r="Y737">
        <v>21670</v>
      </c>
    </row>
    <row r="738" spans="4:25">
      <c r="D738">
        <v>21701</v>
      </c>
      <c r="Y738">
        <v>21701</v>
      </c>
    </row>
    <row r="739" spans="4:25">
      <c r="D739">
        <v>21731</v>
      </c>
      <c r="Y739">
        <v>21731</v>
      </c>
    </row>
    <row r="740" spans="4:25">
      <c r="D740">
        <v>21762</v>
      </c>
      <c r="Y740">
        <v>21762</v>
      </c>
    </row>
    <row r="741" spans="4:25">
      <c r="D741">
        <v>21793</v>
      </c>
      <c r="Y741">
        <v>21793</v>
      </c>
    </row>
    <row r="742" spans="4:25">
      <c r="D742">
        <v>21823</v>
      </c>
      <c r="Y742">
        <v>21823</v>
      </c>
    </row>
    <row r="743" spans="4:25">
      <c r="D743">
        <v>21854</v>
      </c>
      <c r="Y743">
        <v>21854</v>
      </c>
    </row>
    <row r="744" spans="4:25">
      <c r="D744">
        <v>21884</v>
      </c>
      <c r="Y744">
        <v>21884</v>
      </c>
    </row>
    <row r="745" spans="4:25">
      <c r="D745">
        <v>21915</v>
      </c>
      <c r="Y745">
        <v>21915</v>
      </c>
    </row>
    <row r="746" spans="4:25">
      <c r="D746">
        <v>21946</v>
      </c>
      <c r="Y746">
        <v>21946</v>
      </c>
    </row>
    <row r="747" spans="4:25">
      <c r="D747">
        <v>21974</v>
      </c>
      <c r="Y747">
        <v>21974</v>
      </c>
    </row>
    <row r="748" spans="4:25">
      <c r="D748">
        <v>22005</v>
      </c>
      <c r="Y748">
        <v>22005</v>
      </c>
    </row>
    <row r="749" spans="4:25">
      <c r="D749">
        <v>22035</v>
      </c>
      <c r="Y749">
        <v>22035</v>
      </c>
    </row>
    <row r="750" spans="4:25">
      <c r="D750">
        <v>22066</v>
      </c>
      <c r="Y750">
        <v>22066</v>
      </c>
    </row>
    <row r="751" spans="4:25">
      <c r="D751">
        <v>22096</v>
      </c>
      <c r="Y751">
        <v>22096</v>
      </c>
    </row>
    <row r="752" spans="4:25">
      <c r="D752">
        <v>22127</v>
      </c>
      <c r="Y752">
        <v>22127</v>
      </c>
    </row>
    <row r="753" spans="4:25">
      <c r="D753">
        <v>22158</v>
      </c>
      <c r="Y753">
        <v>22158</v>
      </c>
    </row>
    <row r="754" spans="4:25">
      <c r="D754">
        <v>22188</v>
      </c>
      <c r="Y754">
        <v>22188</v>
      </c>
    </row>
    <row r="755" spans="4:25">
      <c r="D755">
        <v>22219</v>
      </c>
      <c r="Y755">
        <v>22219</v>
      </c>
    </row>
    <row r="756" spans="4:25">
      <c r="D756">
        <v>22249</v>
      </c>
      <c r="Y756">
        <v>22249</v>
      </c>
    </row>
    <row r="757" spans="4:25">
      <c r="D757">
        <v>22280</v>
      </c>
      <c r="Y757">
        <v>22280</v>
      </c>
    </row>
    <row r="758" spans="4:25">
      <c r="D758">
        <v>22311</v>
      </c>
      <c r="Y758">
        <v>22311</v>
      </c>
    </row>
    <row r="759" spans="4:25">
      <c r="D759">
        <v>22339</v>
      </c>
      <c r="Y759">
        <v>22339</v>
      </c>
    </row>
    <row r="760" spans="4:25">
      <c r="D760">
        <v>22370</v>
      </c>
      <c r="Y760">
        <v>22370</v>
      </c>
    </row>
    <row r="761" spans="4:25">
      <c r="D761">
        <v>22400</v>
      </c>
      <c r="Y761">
        <v>22400</v>
      </c>
    </row>
    <row r="762" spans="4:25">
      <c r="D762">
        <v>22431</v>
      </c>
      <c r="Y762">
        <v>22431</v>
      </c>
    </row>
    <row r="763" spans="4:25">
      <c r="D763">
        <v>22461</v>
      </c>
      <c r="Y763">
        <v>22461</v>
      </c>
    </row>
    <row r="764" spans="4:25">
      <c r="D764">
        <v>22492</v>
      </c>
      <c r="Y764">
        <v>22492</v>
      </c>
    </row>
    <row r="765" spans="4:25">
      <c r="D765">
        <v>22523</v>
      </c>
      <c r="Y765">
        <v>22523</v>
      </c>
    </row>
    <row r="766" spans="4:25">
      <c r="D766">
        <v>22553</v>
      </c>
      <c r="Y766">
        <v>22553</v>
      </c>
    </row>
    <row r="767" spans="4:25">
      <c r="D767">
        <v>22584</v>
      </c>
      <c r="Y767">
        <v>22584</v>
      </c>
    </row>
    <row r="768" spans="4:25">
      <c r="D768">
        <v>22614</v>
      </c>
      <c r="Y768">
        <v>22614</v>
      </c>
    </row>
    <row r="769" spans="4:25">
      <c r="D769">
        <v>22645</v>
      </c>
      <c r="Y769">
        <v>22645</v>
      </c>
    </row>
    <row r="770" spans="4:25">
      <c r="D770">
        <v>22676</v>
      </c>
      <c r="Y770">
        <v>22676</v>
      </c>
    </row>
    <row r="771" spans="4:25">
      <c r="D771">
        <v>22704</v>
      </c>
      <c r="Y771">
        <v>22704</v>
      </c>
    </row>
    <row r="772" spans="4:25">
      <c r="D772">
        <v>22735</v>
      </c>
      <c r="Y772">
        <v>22735</v>
      </c>
    </row>
    <row r="773" spans="4:25">
      <c r="D773">
        <v>22765</v>
      </c>
      <c r="Y773">
        <v>22765</v>
      </c>
    </row>
    <row r="774" spans="4:25">
      <c r="D774">
        <v>22796</v>
      </c>
      <c r="Y774">
        <v>22796</v>
      </c>
    </row>
    <row r="775" spans="4:25">
      <c r="D775">
        <v>22826</v>
      </c>
      <c r="Y775">
        <v>22826</v>
      </c>
    </row>
    <row r="776" spans="4:25">
      <c r="D776">
        <v>22857</v>
      </c>
      <c r="Y776">
        <v>22857</v>
      </c>
    </row>
    <row r="777" spans="4:25">
      <c r="D777">
        <v>22888</v>
      </c>
      <c r="Y777">
        <v>22888</v>
      </c>
    </row>
    <row r="778" spans="4:25">
      <c r="D778">
        <v>22918</v>
      </c>
      <c r="Y778">
        <v>22918</v>
      </c>
    </row>
    <row r="779" spans="4:25">
      <c r="D779">
        <v>22949</v>
      </c>
      <c r="Y779">
        <v>22949</v>
      </c>
    </row>
    <row r="780" spans="4:25">
      <c r="D780">
        <v>22979</v>
      </c>
      <c r="Y780">
        <v>22979</v>
      </c>
    </row>
    <row r="781" spans="4:25">
      <c r="D781">
        <v>23010</v>
      </c>
      <c r="Y781">
        <v>23010</v>
      </c>
    </row>
    <row r="782" spans="4:25">
      <c r="D782">
        <v>23041</v>
      </c>
      <c r="Y782">
        <v>23041</v>
      </c>
    </row>
    <row r="783" spans="4:25">
      <c r="D783">
        <v>23070</v>
      </c>
      <c r="Y783">
        <v>23070</v>
      </c>
    </row>
    <row r="784" spans="4:25">
      <c r="D784">
        <v>23101</v>
      </c>
      <c r="Y784">
        <v>23101</v>
      </c>
    </row>
    <row r="785" spans="4:25">
      <c r="D785">
        <v>23131</v>
      </c>
      <c r="Y785">
        <v>23131</v>
      </c>
    </row>
    <row r="786" spans="4:25">
      <c r="D786">
        <v>23162</v>
      </c>
      <c r="Y786">
        <v>23162</v>
      </c>
    </row>
    <row r="787" spans="4:25">
      <c r="D787">
        <v>23192</v>
      </c>
      <c r="Y787">
        <v>23192</v>
      </c>
    </row>
    <row r="788" spans="4:25">
      <c r="D788">
        <v>23223</v>
      </c>
      <c r="Y788">
        <v>23223</v>
      </c>
    </row>
    <row r="789" spans="4:25">
      <c r="D789">
        <v>23254</v>
      </c>
      <c r="Y789">
        <v>23254</v>
      </c>
    </row>
    <row r="790" spans="4:25">
      <c r="D790">
        <v>23284</v>
      </c>
      <c r="Y790">
        <v>23284</v>
      </c>
    </row>
    <row r="791" spans="4:25">
      <c r="D791">
        <v>23315</v>
      </c>
      <c r="Y791">
        <v>23315</v>
      </c>
    </row>
    <row r="792" spans="4:25">
      <c r="D792">
        <v>23345</v>
      </c>
      <c r="Y792">
        <v>23345</v>
      </c>
    </row>
    <row r="793" spans="4:25">
      <c r="D793">
        <v>23376</v>
      </c>
      <c r="Y793">
        <v>23376</v>
      </c>
    </row>
    <row r="794" spans="4:25">
      <c r="D794">
        <v>23407</v>
      </c>
      <c r="Y794">
        <v>23407</v>
      </c>
    </row>
    <row r="795" spans="4:25">
      <c r="D795">
        <v>23435</v>
      </c>
      <c r="Y795">
        <v>23435</v>
      </c>
    </row>
    <row r="796" spans="4:25">
      <c r="D796">
        <v>23466</v>
      </c>
      <c r="Y796">
        <v>23466</v>
      </c>
    </row>
    <row r="797" spans="4:25">
      <c r="D797">
        <v>23496</v>
      </c>
      <c r="Y797">
        <v>23496</v>
      </c>
    </row>
    <row r="798" spans="4:25">
      <c r="D798">
        <v>23527</v>
      </c>
      <c r="Y798">
        <v>23527</v>
      </c>
    </row>
    <row r="799" spans="4:25">
      <c r="D799">
        <v>23557</v>
      </c>
      <c r="Y799">
        <v>23557</v>
      </c>
    </row>
    <row r="800" spans="4:25">
      <c r="D800">
        <v>23588</v>
      </c>
      <c r="Y800">
        <v>23588</v>
      </c>
    </row>
    <row r="801" spans="4:25">
      <c r="D801">
        <v>23619</v>
      </c>
      <c r="Y801">
        <v>23619</v>
      </c>
    </row>
    <row r="802" spans="4:25">
      <c r="D802">
        <v>23649</v>
      </c>
      <c r="Y802">
        <v>23649</v>
      </c>
    </row>
    <row r="803" spans="4:25">
      <c r="D803">
        <v>23680</v>
      </c>
      <c r="Y803">
        <v>23680</v>
      </c>
    </row>
    <row r="804" spans="4:25">
      <c r="D804">
        <v>23710</v>
      </c>
      <c r="Y804">
        <v>23710</v>
      </c>
    </row>
    <row r="805" spans="4:25">
      <c r="D805">
        <v>23741</v>
      </c>
      <c r="Y805">
        <v>23741</v>
      </c>
    </row>
    <row r="806" spans="4:25">
      <c r="D806">
        <v>23772</v>
      </c>
      <c r="Y806">
        <v>23772</v>
      </c>
    </row>
    <row r="807" spans="4:25">
      <c r="D807">
        <v>23800</v>
      </c>
      <c r="Y807">
        <v>23800</v>
      </c>
    </row>
    <row r="808" spans="4:25">
      <c r="D808">
        <v>23831</v>
      </c>
      <c r="Y808">
        <v>23831</v>
      </c>
    </row>
    <row r="809" spans="4:25">
      <c r="D809">
        <v>23861</v>
      </c>
      <c r="Y809">
        <v>23861</v>
      </c>
    </row>
    <row r="810" spans="4:25">
      <c r="D810">
        <v>23892</v>
      </c>
      <c r="Y810">
        <v>23892</v>
      </c>
    </row>
    <row r="811" spans="4:25">
      <c r="D811">
        <v>23922</v>
      </c>
      <c r="Y811">
        <v>23922</v>
      </c>
    </row>
    <row r="812" spans="4:25">
      <c r="D812">
        <v>23953</v>
      </c>
      <c r="Y812">
        <v>23953</v>
      </c>
    </row>
    <row r="813" spans="4:25">
      <c r="D813">
        <v>23984</v>
      </c>
      <c r="Y813">
        <v>23984</v>
      </c>
    </row>
    <row r="814" spans="4:25">
      <c r="D814">
        <v>24014</v>
      </c>
      <c r="Y814">
        <v>24014</v>
      </c>
    </row>
    <row r="815" spans="4:25">
      <c r="D815">
        <v>24045</v>
      </c>
      <c r="Y815">
        <v>24045</v>
      </c>
    </row>
    <row r="816" spans="4:25">
      <c r="D816">
        <v>24075</v>
      </c>
      <c r="Y816">
        <v>24075</v>
      </c>
    </row>
    <row r="817" spans="4:25">
      <c r="D817">
        <v>24106</v>
      </c>
      <c r="Y817">
        <v>24106</v>
      </c>
    </row>
    <row r="818" spans="4:25">
      <c r="D818">
        <v>24137</v>
      </c>
      <c r="Y818">
        <v>24137</v>
      </c>
    </row>
    <row r="819" spans="4:25">
      <c r="D819">
        <v>24165</v>
      </c>
      <c r="Y819">
        <v>24165</v>
      </c>
    </row>
    <row r="820" spans="4:25">
      <c r="D820">
        <v>24196</v>
      </c>
      <c r="Y820">
        <v>24196</v>
      </c>
    </row>
    <row r="821" spans="4:25">
      <c r="D821">
        <v>24226</v>
      </c>
      <c r="Y821">
        <v>24226</v>
      </c>
    </row>
    <row r="822" spans="4:25">
      <c r="D822">
        <v>24257</v>
      </c>
      <c r="Y822">
        <v>24257</v>
      </c>
    </row>
    <row r="823" spans="4:25">
      <c r="D823">
        <v>24287</v>
      </c>
      <c r="Y823">
        <v>24287</v>
      </c>
    </row>
    <row r="824" spans="4:25">
      <c r="D824">
        <v>24318</v>
      </c>
      <c r="Y824">
        <v>24318</v>
      </c>
    </row>
    <row r="825" spans="4:25">
      <c r="D825">
        <v>24349</v>
      </c>
      <c r="Y825">
        <v>24349</v>
      </c>
    </row>
    <row r="826" spans="4:25">
      <c r="D826">
        <v>24379</v>
      </c>
      <c r="Y826">
        <v>24379</v>
      </c>
    </row>
    <row r="827" spans="4:25">
      <c r="D827">
        <v>24410</v>
      </c>
      <c r="Y827">
        <v>24410</v>
      </c>
    </row>
    <row r="828" spans="4:25">
      <c r="D828">
        <v>24440</v>
      </c>
      <c r="Y828">
        <v>24440</v>
      </c>
    </row>
    <row r="829" spans="4:25">
      <c r="D829">
        <v>24471</v>
      </c>
      <c r="Y829">
        <v>24471</v>
      </c>
    </row>
    <row r="830" spans="4:25">
      <c r="D830">
        <v>24502</v>
      </c>
      <c r="Y830">
        <v>24502</v>
      </c>
    </row>
    <row r="831" spans="4:25">
      <c r="D831">
        <v>24531</v>
      </c>
      <c r="Y831">
        <v>24531</v>
      </c>
    </row>
    <row r="832" spans="4:25">
      <c r="D832">
        <v>24562</v>
      </c>
      <c r="Y832">
        <v>24562</v>
      </c>
    </row>
    <row r="833" spans="4:25">
      <c r="D833">
        <v>24592</v>
      </c>
      <c r="Y833">
        <v>24592</v>
      </c>
    </row>
    <row r="834" spans="4:25">
      <c r="D834">
        <v>24623</v>
      </c>
      <c r="Y834">
        <v>24623</v>
      </c>
    </row>
    <row r="835" spans="4:25">
      <c r="D835">
        <v>24653</v>
      </c>
      <c r="Y835">
        <v>24653</v>
      </c>
    </row>
    <row r="836" spans="4:25">
      <c r="D836">
        <v>24684</v>
      </c>
      <c r="Y836">
        <v>24684</v>
      </c>
    </row>
    <row r="837" spans="4:25">
      <c r="D837">
        <v>24715</v>
      </c>
      <c r="Y837">
        <v>24715</v>
      </c>
    </row>
    <row r="838" spans="4:25">
      <c r="D838">
        <v>24745</v>
      </c>
      <c r="Y838">
        <v>24745</v>
      </c>
    </row>
    <row r="839" spans="4:25">
      <c r="D839">
        <v>24776</v>
      </c>
      <c r="Y839">
        <v>24776</v>
      </c>
    </row>
    <row r="840" spans="4:25">
      <c r="D840">
        <v>24806</v>
      </c>
      <c r="Y840">
        <v>24806</v>
      </c>
    </row>
    <row r="841" spans="4:25">
      <c r="D841">
        <v>24837</v>
      </c>
      <c r="Y841">
        <v>24837</v>
      </c>
    </row>
    <row r="842" spans="4:25">
      <c r="D842">
        <v>24868</v>
      </c>
      <c r="Y842">
        <v>24868</v>
      </c>
    </row>
    <row r="843" spans="4:25">
      <c r="D843">
        <v>24896</v>
      </c>
      <c r="Y843">
        <v>24896</v>
      </c>
    </row>
    <row r="844" spans="4:25">
      <c r="D844">
        <v>24927</v>
      </c>
      <c r="Y844">
        <v>24927</v>
      </c>
    </row>
    <row r="845" spans="4:25">
      <c r="D845">
        <v>24957</v>
      </c>
      <c r="Y845">
        <v>24957</v>
      </c>
    </row>
    <row r="846" spans="4:25">
      <c r="D846">
        <v>24988</v>
      </c>
      <c r="Y846">
        <v>24988</v>
      </c>
    </row>
    <row r="847" spans="4:25">
      <c r="D847">
        <v>25018</v>
      </c>
      <c r="Y847">
        <v>25018</v>
      </c>
    </row>
    <row r="848" spans="4:25">
      <c r="D848">
        <v>25049</v>
      </c>
      <c r="Y848">
        <v>25049</v>
      </c>
    </row>
    <row r="849" spans="4:25">
      <c r="D849">
        <v>25080</v>
      </c>
      <c r="Y849">
        <v>25080</v>
      </c>
    </row>
    <row r="850" spans="4:25">
      <c r="D850">
        <v>25110</v>
      </c>
      <c r="Y850">
        <v>25110</v>
      </c>
    </row>
    <row r="851" spans="4:25">
      <c r="D851">
        <v>25141</v>
      </c>
      <c r="Y851">
        <v>25141</v>
      </c>
    </row>
    <row r="852" spans="4:25">
      <c r="D852">
        <v>25171</v>
      </c>
      <c r="Y852">
        <v>25171</v>
      </c>
    </row>
    <row r="853" spans="4:25">
      <c r="D853">
        <v>25202</v>
      </c>
      <c r="Y853">
        <v>25202</v>
      </c>
    </row>
    <row r="854" spans="4:25">
      <c r="D854">
        <v>25233</v>
      </c>
      <c r="Y854">
        <v>25233</v>
      </c>
    </row>
    <row r="855" spans="4:25">
      <c r="D855">
        <v>25261</v>
      </c>
      <c r="Y855">
        <v>25261</v>
      </c>
    </row>
    <row r="856" spans="4:25">
      <c r="D856">
        <v>25292</v>
      </c>
      <c r="Y856">
        <v>25292</v>
      </c>
    </row>
    <row r="857" spans="4:25">
      <c r="D857">
        <v>25322</v>
      </c>
      <c r="Y857">
        <v>25322</v>
      </c>
    </row>
    <row r="858" spans="4:25">
      <c r="D858">
        <v>25353</v>
      </c>
      <c r="Y858">
        <v>25353</v>
      </c>
    </row>
    <row r="859" spans="4:25">
      <c r="D859">
        <v>25383</v>
      </c>
      <c r="Y859">
        <v>25383</v>
      </c>
    </row>
    <row r="860" spans="4:25">
      <c r="D860">
        <v>25414</v>
      </c>
      <c r="Y860">
        <v>25414</v>
      </c>
    </row>
    <row r="861" spans="4:25">
      <c r="D861">
        <v>25445</v>
      </c>
      <c r="Y861">
        <v>25445</v>
      </c>
    </row>
    <row r="862" spans="4:25">
      <c r="D862">
        <v>25475</v>
      </c>
      <c r="Y862">
        <v>25475</v>
      </c>
    </row>
    <row r="863" spans="4:25">
      <c r="D863">
        <v>25506</v>
      </c>
      <c r="Y863">
        <v>25506</v>
      </c>
    </row>
    <row r="864" spans="4:25">
      <c r="D864">
        <v>25536</v>
      </c>
      <c r="Y864">
        <v>25536</v>
      </c>
    </row>
    <row r="865" spans="4:25">
      <c r="D865">
        <v>25567</v>
      </c>
      <c r="Y865">
        <v>25567</v>
      </c>
    </row>
    <row r="866" spans="4:25">
      <c r="D866">
        <v>25598</v>
      </c>
      <c r="Y866">
        <v>25598</v>
      </c>
    </row>
    <row r="867" spans="4:25">
      <c r="D867">
        <v>25626</v>
      </c>
      <c r="Y867">
        <v>25626</v>
      </c>
    </row>
    <row r="868" spans="4:25">
      <c r="D868">
        <v>25657</v>
      </c>
      <c r="Y868">
        <v>25657</v>
      </c>
    </row>
    <row r="869" spans="4:25">
      <c r="D869">
        <v>25687</v>
      </c>
      <c r="Y869">
        <v>25687</v>
      </c>
    </row>
    <row r="870" spans="4:25">
      <c r="D870">
        <v>25718</v>
      </c>
      <c r="Y870">
        <v>25718</v>
      </c>
    </row>
    <row r="871" spans="4:25">
      <c r="D871">
        <v>25748</v>
      </c>
      <c r="Y871">
        <v>25748</v>
      </c>
    </row>
    <row r="872" spans="4:25">
      <c r="D872">
        <v>25779</v>
      </c>
      <c r="Y872">
        <v>25779</v>
      </c>
    </row>
    <row r="873" spans="4:25">
      <c r="D873">
        <v>25810</v>
      </c>
      <c r="Y873">
        <v>25810</v>
      </c>
    </row>
    <row r="874" spans="4:25">
      <c r="D874">
        <v>25840</v>
      </c>
      <c r="Y874">
        <v>25840</v>
      </c>
    </row>
    <row r="875" spans="4:25">
      <c r="D875">
        <v>25871</v>
      </c>
      <c r="Y875">
        <v>25871</v>
      </c>
    </row>
    <row r="876" spans="4:25">
      <c r="D876">
        <v>25901</v>
      </c>
      <c r="Y876">
        <v>25901</v>
      </c>
    </row>
    <row r="877" spans="4:25">
      <c r="D877">
        <v>25932</v>
      </c>
      <c r="Y877">
        <v>25932</v>
      </c>
    </row>
    <row r="878" spans="4:25">
      <c r="D878">
        <v>25963</v>
      </c>
      <c r="Y878">
        <v>25963</v>
      </c>
    </row>
    <row r="879" spans="4:25">
      <c r="D879">
        <v>25992</v>
      </c>
      <c r="Y879">
        <v>25992</v>
      </c>
    </row>
    <row r="880" spans="4:25">
      <c r="D880">
        <v>26023</v>
      </c>
      <c r="Y880">
        <v>26023</v>
      </c>
    </row>
    <row r="881" spans="4:25">
      <c r="D881">
        <v>26053</v>
      </c>
      <c r="Y881">
        <v>26053</v>
      </c>
    </row>
    <row r="882" spans="4:25">
      <c r="D882">
        <v>26084</v>
      </c>
      <c r="Y882">
        <v>26084</v>
      </c>
    </row>
    <row r="883" spans="4:25">
      <c r="D883">
        <v>26114</v>
      </c>
      <c r="Y883">
        <v>26114</v>
      </c>
    </row>
    <row r="884" spans="4:25">
      <c r="D884">
        <v>26145</v>
      </c>
      <c r="Y884">
        <v>26145</v>
      </c>
    </row>
    <row r="885" spans="4:25">
      <c r="D885">
        <v>26176</v>
      </c>
      <c r="Y885">
        <v>26176</v>
      </c>
    </row>
    <row r="886" spans="4:25">
      <c r="D886">
        <v>26206</v>
      </c>
      <c r="Y886">
        <v>26206</v>
      </c>
    </row>
    <row r="887" spans="4:25">
      <c r="D887">
        <v>26237</v>
      </c>
      <c r="Y887">
        <v>26237</v>
      </c>
    </row>
    <row r="888" spans="4:25">
      <c r="D888">
        <v>26267</v>
      </c>
      <c r="Y888">
        <v>26267</v>
      </c>
    </row>
    <row r="889" spans="4:25">
      <c r="D889">
        <v>26298</v>
      </c>
      <c r="Y889">
        <v>26298</v>
      </c>
    </row>
    <row r="890" spans="4:25">
      <c r="D890">
        <v>26329</v>
      </c>
      <c r="Y890">
        <v>26329</v>
      </c>
    </row>
    <row r="891" spans="4:25">
      <c r="D891">
        <v>26357</v>
      </c>
      <c r="Y891">
        <v>26357</v>
      </c>
    </row>
    <row r="892" spans="4:25">
      <c r="D892">
        <v>26388</v>
      </c>
      <c r="Y892">
        <v>26388</v>
      </c>
    </row>
    <row r="893" spans="4:25">
      <c r="D893">
        <v>26418</v>
      </c>
      <c r="Y893">
        <v>26418</v>
      </c>
    </row>
    <row r="894" spans="4:25">
      <c r="D894">
        <v>26449</v>
      </c>
      <c r="Y894">
        <v>26449</v>
      </c>
    </row>
    <row r="895" spans="4:25">
      <c r="D895">
        <v>26479</v>
      </c>
      <c r="Y895">
        <v>26479</v>
      </c>
    </row>
    <row r="896" spans="4:25">
      <c r="D896">
        <v>26510</v>
      </c>
      <c r="Y896">
        <v>26510</v>
      </c>
    </row>
    <row r="897" spans="4:25">
      <c r="D897">
        <v>26541</v>
      </c>
      <c r="Y897">
        <v>26541</v>
      </c>
    </row>
    <row r="898" spans="4:25">
      <c r="D898">
        <v>26571</v>
      </c>
      <c r="Y898">
        <v>26571</v>
      </c>
    </row>
    <row r="899" spans="4:25">
      <c r="D899">
        <v>26602</v>
      </c>
      <c r="Y899">
        <v>26602</v>
      </c>
    </row>
    <row r="900" spans="4:25">
      <c r="D900">
        <v>26632</v>
      </c>
      <c r="Y900">
        <v>26632</v>
      </c>
    </row>
    <row r="901" spans="4:25">
      <c r="D901">
        <v>26663</v>
      </c>
      <c r="Y901">
        <v>26663</v>
      </c>
    </row>
    <row r="902" spans="4:25">
      <c r="D902">
        <v>26694</v>
      </c>
      <c r="Y902">
        <v>26694</v>
      </c>
    </row>
    <row r="903" spans="4:25">
      <c r="D903">
        <v>26722</v>
      </c>
      <c r="Y903">
        <v>26722</v>
      </c>
    </row>
    <row r="904" spans="4:25">
      <c r="D904">
        <v>26753</v>
      </c>
      <c r="Y904">
        <v>26753</v>
      </c>
    </row>
    <row r="905" spans="4:25">
      <c r="D905">
        <v>26783</v>
      </c>
      <c r="Y905">
        <v>26783</v>
      </c>
    </row>
    <row r="906" spans="4:25">
      <c r="D906">
        <v>26814</v>
      </c>
      <c r="Y906">
        <v>26814</v>
      </c>
    </row>
    <row r="907" spans="4:25">
      <c r="D907">
        <v>26844</v>
      </c>
      <c r="Y907">
        <v>26844</v>
      </c>
    </row>
    <row r="908" spans="4:25">
      <c r="D908">
        <v>26875</v>
      </c>
      <c r="Y908">
        <v>26875</v>
      </c>
    </row>
    <row r="909" spans="4:25">
      <c r="D909">
        <v>26906</v>
      </c>
      <c r="Y909">
        <v>26906</v>
      </c>
    </row>
    <row r="910" spans="4:25">
      <c r="D910">
        <v>26936</v>
      </c>
      <c r="Y910">
        <v>26936</v>
      </c>
    </row>
    <row r="911" spans="4:25">
      <c r="D911">
        <v>26967</v>
      </c>
      <c r="Y911">
        <v>26967</v>
      </c>
    </row>
    <row r="912" spans="4:25">
      <c r="D912">
        <v>26997</v>
      </c>
      <c r="Y912">
        <v>26997</v>
      </c>
    </row>
    <row r="913" spans="4:25">
      <c r="D913">
        <v>27028</v>
      </c>
      <c r="Y913">
        <v>27028</v>
      </c>
    </row>
    <row r="914" spans="4:25">
      <c r="D914">
        <v>27059</v>
      </c>
      <c r="Y914">
        <v>27059</v>
      </c>
    </row>
    <row r="915" spans="4:25">
      <c r="D915">
        <v>27087</v>
      </c>
      <c r="Y915">
        <v>27087</v>
      </c>
    </row>
    <row r="916" spans="4:25">
      <c r="D916">
        <v>27118</v>
      </c>
      <c r="Y916">
        <v>27118</v>
      </c>
    </row>
    <row r="917" spans="4:25">
      <c r="D917">
        <v>27148</v>
      </c>
      <c r="Y917">
        <v>27148</v>
      </c>
    </row>
    <row r="918" spans="4:25">
      <c r="D918">
        <v>27179</v>
      </c>
      <c r="Y918">
        <v>27179</v>
      </c>
    </row>
    <row r="919" spans="4:25">
      <c r="D919">
        <v>27209</v>
      </c>
      <c r="Y919">
        <v>27209</v>
      </c>
    </row>
    <row r="920" spans="4:25">
      <c r="D920">
        <v>27240</v>
      </c>
      <c r="Y920">
        <v>27240</v>
      </c>
    </row>
    <row r="921" spans="4:25">
      <c r="D921">
        <v>27271</v>
      </c>
      <c r="Y921">
        <v>27271</v>
      </c>
    </row>
    <row r="922" spans="4:25">
      <c r="D922">
        <v>27301</v>
      </c>
      <c r="Y922">
        <v>27301</v>
      </c>
    </row>
    <row r="923" spans="4:25">
      <c r="D923">
        <v>27332</v>
      </c>
      <c r="Y923">
        <v>27332</v>
      </c>
    </row>
    <row r="924" spans="4:25">
      <c r="D924">
        <v>27362</v>
      </c>
      <c r="Y924">
        <v>27362</v>
      </c>
    </row>
    <row r="925" spans="4:25">
      <c r="D925">
        <v>27393</v>
      </c>
      <c r="Y925">
        <v>27393</v>
      </c>
    </row>
    <row r="926" spans="4:25">
      <c r="D926">
        <v>27424</v>
      </c>
      <c r="Y926">
        <v>27424</v>
      </c>
    </row>
    <row r="927" spans="4:25">
      <c r="D927">
        <v>27453</v>
      </c>
      <c r="Y927">
        <v>27453</v>
      </c>
    </row>
    <row r="928" spans="4:25">
      <c r="D928">
        <v>27484</v>
      </c>
      <c r="Y928">
        <v>27484</v>
      </c>
    </row>
    <row r="929" spans="4:25">
      <c r="D929">
        <v>27514</v>
      </c>
      <c r="Y929">
        <v>27514</v>
      </c>
    </row>
    <row r="930" spans="4:25">
      <c r="D930">
        <v>27545</v>
      </c>
      <c r="Y930">
        <v>27545</v>
      </c>
    </row>
    <row r="931" spans="4:25">
      <c r="D931">
        <v>27575</v>
      </c>
      <c r="Y931">
        <v>27575</v>
      </c>
    </row>
    <row r="932" spans="4:25">
      <c r="D932">
        <v>27606</v>
      </c>
      <c r="Y932">
        <v>27606</v>
      </c>
    </row>
    <row r="933" spans="4:25">
      <c r="D933">
        <v>27637</v>
      </c>
      <c r="Y933">
        <v>27637</v>
      </c>
    </row>
    <row r="934" spans="4:25">
      <c r="D934">
        <v>27667</v>
      </c>
      <c r="Y934">
        <v>27667</v>
      </c>
    </row>
    <row r="935" spans="4:25">
      <c r="D935">
        <v>27698</v>
      </c>
      <c r="Y935">
        <v>27698</v>
      </c>
    </row>
    <row r="936" spans="4:25">
      <c r="D936">
        <v>27728</v>
      </c>
      <c r="Y936">
        <v>27728</v>
      </c>
    </row>
    <row r="937" spans="4:25">
      <c r="D937">
        <v>27759</v>
      </c>
      <c r="Y937">
        <v>27759</v>
      </c>
    </row>
    <row r="938" spans="4:25">
      <c r="D938">
        <v>27790</v>
      </c>
      <c r="Y938">
        <v>27790</v>
      </c>
    </row>
    <row r="939" spans="4:25">
      <c r="D939">
        <v>27818</v>
      </c>
      <c r="Y939">
        <v>27818</v>
      </c>
    </row>
    <row r="940" spans="4:25">
      <c r="D940">
        <v>27849</v>
      </c>
      <c r="Y940">
        <v>27849</v>
      </c>
    </row>
    <row r="941" spans="4:25">
      <c r="D941">
        <v>27879</v>
      </c>
      <c r="Y941">
        <v>27879</v>
      </c>
    </row>
    <row r="942" spans="4:25">
      <c r="D942">
        <v>27910</v>
      </c>
      <c r="Y942">
        <v>27910</v>
      </c>
    </row>
    <row r="943" spans="4:25">
      <c r="D943">
        <v>27940</v>
      </c>
      <c r="Y943">
        <v>27940</v>
      </c>
    </row>
    <row r="944" spans="4:25">
      <c r="D944">
        <v>27971</v>
      </c>
      <c r="Y944">
        <v>27971</v>
      </c>
    </row>
    <row r="945" spans="4:25">
      <c r="D945">
        <v>28002</v>
      </c>
      <c r="Y945">
        <v>28002</v>
      </c>
    </row>
    <row r="946" spans="4:25">
      <c r="D946">
        <v>28032</v>
      </c>
      <c r="Y946">
        <v>28032</v>
      </c>
    </row>
    <row r="947" spans="4:25">
      <c r="D947">
        <v>28063</v>
      </c>
      <c r="Y947">
        <v>28063</v>
      </c>
    </row>
    <row r="948" spans="4:25">
      <c r="D948">
        <v>28093</v>
      </c>
      <c r="Y948">
        <v>28093</v>
      </c>
    </row>
    <row r="949" spans="4:25">
      <c r="D949">
        <v>28124</v>
      </c>
      <c r="Y949">
        <v>28124</v>
      </c>
    </row>
    <row r="950" spans="4:25">
      <c r="D950">
        <v>28155</v>
      </c>
      <c r="Y950">
        <v>28155</v>
      </c>
    </row>
    <row r="951" spans="4:25">
      <c r="D951">
        <v>28183</v>
      </c>
      <c r="Y951">
        <v>28183</v>
      </c>
    </row>
    <row r="952" spans="4:25">
      <c r="D952">
        <v>28214</v>
      </c>
      <c r="Y952">
        <v>28214</v>
      </c>
    </row>
    <row r="953" spans="4:25">
      <c r="D953">
        <v>28244</v>
      </c>
      <c r="Y953">
        <v>28244</v>
      </c>
    </row>
    <row r="954" spans="4:25">
      <c r="D954">
        <v>28275</v>
      </c>
      <c r="Y954">
        <v>28275</v>
      </c>
    </row>
    <row r="955" spans="4:25">
      <c r="D955">
        <v>28305</v>
      </c>
      <c r="Y955">
        <v>28305</v>
      </c>
    </row>
    <row r="956" spans="4:25">
      <c r="D956">
        <v>28336</v>
      </c>
      <c r="Y956">
        <v>28336</v>
      </c>
    </row>
    <row r="957" spans="4:25">
      <c r="D957">
        <v>28367</v>
      </c>
      <c r="Y957">
        <v>28367</v>
      </c>
    </row>
    <row r="958" spans="4:25">
      <c r="D958">
        <v>28397</v>
      </c>
      <c r="Y958">
        <v>28397</v>
      </c>
    </row>
    <row r="959" spans="4:25">
      <c r="D959">
        <v>28428</v>
      </c>
      <c r="Y959">
        <v>28428</v>
      </c>
    </row>
    <row r="960" spans="4:25">
      <c r="D960">
        <v>28458</v>
      </c>
      <c r="Y960">
        <v>28458</v>
      </c>
    </row>
    <row r="961" spans="4:25">
      <c r="D961">
        <v>28489</v>
      </c>
      <c r="Y961">
        <v>28489</v>
      </c>
    </row>
    <row r="962" spans="4:25">
      <c r="D962">
        <v>28520</v>
      </c>
      <c r="Y962">
        <v>28520</v>
      </c>
    </row>
    <row r="963" spans="4:25">
      <c r="D963">
        <v>28548</v>
      </c>
      <c r="Y963">
        <v>28548</v>
      </c>
    </row>
    <row r="964" spans="4:25">
      <c r="D964">
        <v>28579</v>
      </c>
      <c r="Y964">
        <v>28579</v>
      </c>
    </row>
    <row r="965" spans="4:25">
      <c r="D965">
        <v>28609</v>
      </c>
      <c r="Y965">
        <v>28609</v>
      </c>
    </row>
    <row r="966" spans="4:25">
      <c r="D966">
        <v>28640</v>
      </c>
      <c r="Y966">
        <v>28640</v>
      </c>
    </row>
    <row r="967" spans="4:25">
      <c r="D967">
        <v>28670</v>
      </c>
      <c r="Y967">
        <v>28670</v>
      </c>
    </row>
    <row r="968" spans="4:25">
      <c r="D968">
        <v>28701</v>
      </c>
      <c r="Y968">
        <v>28701</v>
      </c>
    </row>
    <row r="969" spans="4:25">
      <c r="D969">
        <v>28732</v>
      </c>
      <c r="Y969">
        <v>28732</v>
      </c>
    </row>
    <row r="970" spans="4:25">
      <c r="D970">
        <v>28762</v>
      </c>
      <c r="Y970">
        <v>28762</v>
      </c>
    </row>
    <row r="971" spans="4:25">
      <c r="D971">
        <v>28793</v>
      </c>
      <c r="Y971">
        <v>28793</v>
      </c>
    </row>
    <row r="972" spans="4:25">
      <c r="D972">
        <v>28823</v>
      </c>
      <c r="Y972">
        <v>28823</v>
      </c>
    </row>
    <row r="973" spans="4:25">
      <c r="D973">
        <v>28854</v>
      </c>
      <c r="Y973">
        <v>28854</v>
      </c>
    </row>
    <row r="974" spans="4:25">
      <c r="D974">
        <v>28885</v>
      </c>
      <c r="Y974">
        <v>28885</v>
      </c>
    </row>
    <row r="975" spans="4:25">
      <c r="D975">
        <v>28914</v>
      </c>
      <c r="Y975">
        <v>28914</v>
      </c>
    </row>
    <row r="976" spans="4:25">
      <c r="D976">
        <v>28945</v>
      </c>
      <c r="Y976">
        <v>28945</v>
      </c>
    </row>
    <row r="977" spans="4:25">
      <c r="D977">
        <v>28975</v>
      </c>
      <c r="Y977">
        <v>28975</v>
      </c>
    </row>
    <row r="978" spans="4:25">
      <c r="D978">
        <v>29006</v>
      </c>
      <c r="Y978">
        <v>29006</v>
      </c>
    </row>
    <row r="979" spans="4:25">
      <c r="D979">
        <v>29036</v>
      </c>
      <c r="Y979">
        <v>29036</v>
      </c>
    </row>
    <row r="980" spans="4:25">
      <c r="D980">
        <v>29067</v>
      </c>
      <c r="Y980">
        <v>29067</v>
      </c>
    </row>
    <row r="981" spans="4:25">
      <c r="D981">
        <v>29098</v>
      </c>
      <c r="Y981">
        <v>29098</v>
      </c>
    </row>
    <row r="982" spans="4:25">
      <c r="D982">
        <v>29128</v>
      </c>
      <c r="Y982">
        <v>29128</v>
      </c>
    </row>
    <row r="983" spans="4:25">
      <c r="D983">
        <v>29159</v>
      </c>
      <c r="Y983">
        <v>29159</v>
      </c>
    </row>
    <row r="984" spans="4:25">
      <c r="D984">
        <v>29189</v>
      </c>
      <c r="Y984">
        <v>29189</v>
      </c>
    </row>
    <row r="985" spans="4:25">
      <c r="D985">
        <v>29220</v>
      </c>
      <c r="Y985">
        <v>29220</v>
      </c>
    </row>
    <row r="986" spans="4:25">
      <c r="D986">
        <v>29251</v>
      </c>
      <c r="Y986">
        <v>29251</v>
      </c>
    </row>
    <row r="987" spans="4:25">
      <c r="D987">
        <v>29279</v>
      </c>
      <c r="Y987">
        <v>29279</v>
      </c>
    </row>
    <row r="988" spans="4:25">
      <c r="D988">
        <v>29310</v>
      </c>
      <c r="Y988">
        <v>29310</v>
      </c>
    </row>
    <row r="989" spans="4:25">
      <c r="D989">
        <v>29340</v>
      </c>
      <c r="Y989">
        <v>29340</v>
      </c>
    </row>
    <row r="990" spans="4:25">
      <c r="D990">
        <v>29371</v>
      </c>
      <c r="Y990">
        <v>29371</v>
      </c>
    </row>
    <row r="991" spans="4:25">
      <c r="D991">
        <v>29401</v>
      </c>
      <c r="Y991">
        <v>29401</v>
      </c>
    </row>
    <row r="992" spans="4:25">
      <c r="D992">
        <v>29432</v>
      </c>
      <c r="Y992">
        <v>29432</v>
      </c>
    </row>
    <row r="993" spans="4:25">
      <c r="D993">
        <v>29463</v>
      </c>
      <c r="Y993">
        <v>29463</v>
      </c>
    </row>
    <row r="994" spans="4:25">
      <c r="D994">
        <v>29493</v>
      </c>
      <c r="Y994">
        <v>29493</v>
      </c>
    </row>
    <row r="995" spans="4:25">
      <c r="D995">
        <v>29524</v>
      </c>
      <c r="Y995">
        <v>29524</v>
      </c>
    </row>
    <row r="996" spans="4:25">
      <c r="D996">
        <v>29554</v>
      </c>
      <c r="Y996">
        <v>29554</v>
      </c>
    </row>
    <row r="997" spans="4:25">
      <c r="D997">
        <v>29585</v>
      </c>
      <c r="Y997">
        <v>29585</v>
      </c>
    </row>
    <row r="998" spans="4:25">
      <c r="D998">
        <v>29616</v>
      </c>
      <c r="Y998">
        <v>29616</v>
      </c>
    </row>
    <row r="999" spans="4:25">
      <c r="D999">
        <v>29644</v>
      </c>
      <c r="Y999">
        <v>29644</v>
      </c>
    </row>
    <row r="1000" spans="4:25">
      <c r="D1000">
        <v>29675</v>
      </c>
      <c r="Y1000">
        <v>29675</v>
      </c>
    </row>
    <row r="1001" spans="4:25">
      <c r="D1001">
        <v>29705</v>
      </c>
      <c r="Y1001">
        <v>29705</v>
      </c>
    </row>
    <row r="1002" spans="4:25">
      <c r="D1002">
        <v>29736</v>
      </c>
      <c r="Y1002">
        <v>29736</v>
      </c>
    </row>
    <row r="1003" spans="4:25">
      <c r="D1003">
        <v>29766</v>
      </c>
      <c r="Y1003">
        <v>29766</v>
      </c>
    </row>
    <row r="1004" spans="4:25">
      <c r="D1004">
        <v>29797</v>
      </c>
      <c r="Y1004">
        <v>29797</v>
      </c>
    </row>
    <row r="1005" spans="4:25">
      <c r="D1005">
        <v>29828</v>
      </c>
      <c r="Y1005">
        <v>29828</v>
      </c>
    </row>
    <row r="1006" spans="4:25">
      <c r="D1006">
        <v>29858</v>
      </c>
      <c r="Y1006">
        <v>29858</v>
      </c>
    </row>
    <row r="1007" spans="4:25">
      <c r="D1007">
        <v>29889</v>
      </c>
      <c r="Y1007">
        <v>29889</v>
      </c>
    </row>
    <row r="1008" spans="4:25">
      <c r="D1008">
        <v>29919</v>
      </c>
      <c r="Y1008">
        <v>29919</v>
      </c>
    </row>
    <row r="1009" spans="4:25">
      <c r="D1009">
        <v>29950</v>
      </c>
      <c r="Y1009">
        <v>29950</v>
      </c>
    </row>
    <row r="1010" spans="4:25">
      <c r="D1010">
        <v>29981</v>
      </c>
      <c r="Y1010">
        <v>29981</v>
      </c>
    </row>
    <row r="1011" spans="4:25">
      <c r="D1011">
        <v>30009</v>
      </c>
      <c r="Y1011">
        <v>30009</v>
      </c>
    </row>
    <row r="1012" spans="4:25">
      <c r="D1012">
        <v>30040</v>
      </c>
      <c r="Y1012">
        <v>30040</v>
      </c>
    </row>
    <row r="1013" spans="4:25">
      <c r="D1013">
        <v>30070</v>
      </c>
      <c r="Y1013">
        <v>30070</v>
      </c>
    </row>
    <row r="1014" spans="4:25">
      <c r="D1014">
        <v>30101</v>
      </c>
      <c r="Y1014">
        <v>30101</v>
      </c>
    </row>
    <row r="1015" spans="4:25">
      <c r="D1015">
        <v>30131</v>
      </c>
      <c r="Y1015">
        <v>30131</v>
      </c>
    </row>
    <row r="1016" spans="4:25">
      <c r="D1016">
        <v>30162</v>
      </c>
      <c r="Y1016">
        <v>30162</v>
      </c>
    </row>
    <row r="1017" spans="4:25">
      <c r="D1017">
        <v>30193</v>
      </c>
      <c r="Y1017">
        <v>30193</v>
      </c>
    </row>
    <row r="1018" spans="4:25">
      <c r="D1018">
        <v>30223</v>
      </c>
      <c r="Y1018">
        <v>30223</v>
      </c>
    </row>
    <row r="1019" spans="4:25">
      <c r="D1019">
        <v>30254</v>
      </c>
      <c r="Y1019">
        <v>30254</v>
      </c>
    </row>
    <row r="1020" spans="4:25">
      <c r="D1020">
        <v>30284</v>
      </c>
      <c r="Y1020">
        <v>30284</v>
      </c>
    </row>
    <row r="1021" spans="4:25">
      <c r="D1021">
        <v>30315</v>
      </c>
      <c r="Y1021">
        <v>30315</v>
      </c>
    </row>
    <row r="1022" spans="4:25">
      <c r="D1022">
        <v>30346</v>
      </c>
      <c r="Y1022">
        <v>30346</v>
      </c>
    </row>
    <row r="1023" spans="4:25">
      <c r="D1023">
        <v>30375</v>
      </c>
      <c r="Y1023">
        <v>30375</v>
      </c>
    </row>
    <row r="1024" spans="4:25">
      <c r="D1024">
        <v>30406</v>
      </c>
      <c r="Y1024">
        <v>30406</v>
      </c>
    </row>
    <row r="1025" spans="4:25">
      <c r="D1025">
        <v>30436</v>
      </c>
      <c r="Y1025">
        <v>30436</v>
      </c>
    </row>
    <row r="1026" spans="4:25">
      <c r="D1026">
        <v>30467</v>
      </c>
      <c r="Y1026">
        <v>30467</v>
      </c>
    </row>
    <row r="1027" spans="4:25">
      <c r="D1027">
        <v>30497</v>
      </c>
      <c r="Y1027">
        <v>30497</v>
      </c>
    </row>
    <row r="1028" spans="4:25">
      <c r="D1028">
        <v>30528</v>
      </c>
      <c r="Y1028">
        <v>30528</v>
      </c>
    </row>
    <row r="1029" spans="4:25">
      <c r="D1029">
        <v>30559</v>
      </c>
      <c r="Y1029">
        <v>30559</v>
      </c>
    </row>
    <row r="1030" spans="4:25">
      <c r="D1030">
        <v>30589</v>
      </c>
      <c r="Y1030">
        <v>30589</v>
      </c>
    </row>
    <row r="1031" spans="4:25">
      <c r="D1031">
        <v>30620</v>
      </c>
      <c r="Y1031">
        <v>30620</v>
      </c>
    </row>
    <row r="1032" spans="4:25">
      <c r="D1032">
        <v>30650</v>
      </c>
      <c r="Y1032">
        <v>30650</v>
      </c>
    </row>
    <row r="1033" spans="4:25">
      <c r="D1033">
        <v>30681</v>
      </c>
      <c r="Y1033">
        <v>30681</v>
      </c>
    </row>
    <row r="1034" spans="4:25">
      <c r="D1034">
        <v>30712</v>
      </c>
      <c r="Y1034">
        <v>30712</v>
      </c>
    </row>
    <row r="1035" spans="4:25">
      <c r="D1035">
        <v>30740</v>
      </c>
      <c r="Y1035">
        <v>30740</v>
      </c>
    </row>
    <row r="1036" spans="4:25">
      <c r="D1036">
        <v>30771</v>
      </c>
      <c r="Y1036">
        <v>30771</v>
      </c>
    </row>
    <row r="1037" spans="4:25">
      <c r="D1037">
        <v>30801</v>
      </c>
      <c r="Y1037">
        <v>30801</v>
      </c>
    </row>
    <row r="1038" spans="4:25">
      <c r="D1038">
        <v>30832</v>
      </c>
      <c r="Y1038">
        <v>30832</v>
      </c>
    </row>
    <row r="1039" spans="4:25">
      <c r="D1039">
        <v>30862</v>
      </c>
      <c r="Y1039">
        <v>30862</v>
      </c>
    </row>
    <row r="1040" spans="4:25">
      <c r="D1040">
        <v>30893</v>
      </c>
      <c r="Y1040">
        <v>30893</v>
      </c>
    </row>
    <row r="1041" spans="4:25">
      <c r="D1041">
        <v>30924</v>
      </c>
      <c r="Y1041">
        <v>30924</v>
      </c>
    </row>
    <row r="1042" spans="4:25">
      <c r="D1042">
        <v>30954</v>
      </c>
      <c r="Y1042">
        <v>30954</v>
      </c>
    </row>
    <row r="1043" spans="4:25">
      <c r="D1043">
        <v>30985</v>
      </c>
      <c r="Y1043">
        <v>30985</v>
      </c>
    </row>
    <row r="1044" spans="4:25">
      <c r="D1044">
        <v>31015</v>
      </c>
      <c r="Y1044">
        <v>31015</v>
      </c>
    </row>
    <row r="1045" spans="4:25">
      <c r="D1045">
        <v>31046</v>
      </c>
      <c r="Y1045">
        <v>31046</v>
      </c>
    </row>
    <row r="1046" spans="4:25">
      <c r="D1046">
        <v>31077</v>
      </c>
      <c r="Y1046">
        <v>31077</v>
      </c>
    </row>
    <row r="1047" spans="4:25">
      <c r="D1047">
        <v>31105</v>
      </c>
      <c r="Y1047">
        <v>31105</v>
      </c>
    </row>
    <row r="1048" spans="4:25">
      <c r="D1048">
        <v>31136</v>
      </c>
      <c r="Y1048">
        <v>31136</v>
      </c>
    </row>
    <row r="1049" spans="4:25">
      <c r="D1049">
        <v>31166</v>
      </c>
      <c r="Y1049">
        <v>31166</v>
      </c>
    </row>
    <row r="1050" spans="4:25">
      <c r="D1050">
        <v>31197</v>
      </c>
      <c r="Y1050">
        <v>31197</v>
      </c>
    </row>
    <row r="1051" spans="4:25">
      <c r="D1051">
        <v>31227</v>
      </c>
      <c r="Y1051">
        <v>31227</v>
      </c>
    </row>
    <row r="1052" spans="4:25">
      <c r="D1052">
        <v>31258</v>
      </c>
      <c r="Y1052">
        <v>31258</v>
      </c>
    </row>
    <row r="1053" spans="4:25">
      <c r="D1053">
        <v>31289</v>
      </c>
      <c r="Y1053">
        <v>31289</v>
      </c>
    </row>
    <row r="1054" spans="4:25">
      <c r="D1054">
        <v>31319</v>
      </c>
      <c r="Y1054">
        <v>31319</v>
      </c>
    </row>
    <row r="1055" spans="4:25">
      <c r="D1055">
        <v>31350</v>
      </c>
      <c r="Y1055">
        <v>31350</v>
      </c>
    </row>
    <row r="1056" spans="4:25">
      <c r="D1056">
        <v>31380</v>
      </c>
      <c r="Y1056">
        <v>31380</v>
      </c>
    </row>
    <row r="1057" spans="4:25">
      <c r="D1057">
        <v>31411</v>
      </c>
      <c r="Y1057">
        <v>31411</v>
      </c>
    </row>
    <row r="1058" spans="4:25">
      <c r="D1058">
        <v>31442</v>
      </c>
      <c r="Y1058">
        <v>31442</v>
      </c>
    </row>
    <row r="1059" spans="4:25">
      <c r="D1059">
        <v>31470</v>
      </c>
      <c r="Y1059">
        <v>31470</v>
      </c>
    </row>
    <row r="1060" spans="4:25">
      <c r="D1060">
        <v>31501</v>
      </c>
      <c r="Y1060">
        <v>31501</v>
      </c>
    </row>
    <row r="1061" spans="4:25">
      <c r="D1061">
        <v>31531</v>
      </c>
      <c r="Y1061">
        <v>31531</v>
      </c>
    </row>
    <row r="1062" spans="4:25">
      <c r="D1062">
        <v>31562</v>
      </c>
      <c r="Y1062">
        <v>31562</v>
      </c>
    </row>
    <row r="1063" spans="4:25">
      <c r="D1063">
        <v>31592</v>
      </c>
      <c r="Y1063">
        <v>31592</v>
      </c>
    </row>
    <row r="1064" spans="4:25">
      <c r="D1064">
        <v>31623</v>
      </c>
      <c r="Y1064">
        <v>31623</v>
      </c>
    </row>
    <row r="1065" spans="4:25">
      <c r="D1065">
        <v>31654</v>
      </c>
      <c r="Y1065">
        <v>31654</v>
      </c>
    </row>
    <row r="1066" spans="4:25">
      <c r="D1066">
        <v>31684</v>
      </c>
      <c r="Y1066">
        <v>31684</v>
      </c>
    </row>
    <row r="1067" spans="4:25">
      <c r="D1067">
        <v>31715</v>
      </c>
      <c r="Y1067">
        <v>31715</v>
      </c>
    </row>
    <row r="1068" spans="4:25">
      <c r="D1068">
        <v>31745</v>
      </c>
      <c r="Y1068">
        <v>31745</v>
      </c>
    </row>
    <row r="1069" spans="4:25">
      <c r="D1069">
        <v>31776</v>
      </c>
      <c r="Y1069">
        <v>31776</v>
      </c>
    </row>
    <row r="1070" spans="4:25">
      <c r="D1070">
        <v>31807</v>
      </c>
      <c r="Y1070">
        <v>31807</v>
      </c>
    </row>
    <row r="1071" spans="4:25">
      <c r="D1071">
        <v>31836</v>
      </c>
      <c r="Y1071">
        <v>31836</v>
      </c>
    </row>
    <row r="1072" spans="4:25">
      <c r="D1072">
        <v>31867</v>
      </c>
      <c r="Y1072">
        <v>31867</v>
      </c>
    </row>
    <row r="1073" spans="4:25">
      <c r="D1073">
        <v>31897</v>
      </c>
      <c r="Y1073">
        <v>31897</v>
      </c>
    </row>
    <row r="1074" spans="4:25">
      <c r="D1074">
        <v>31928</v>
      </c>
      <c r="Y1074">
        <v>31928</v>
      </c>
    </row>
    <row r="1075" spans="4:25">
      <c r="D1075">
        <v>31958</v>
      </c>
      <c r="Y1075">
        <v>31958</v>
      </c>
    </row>
    <row r="1076" spans="4:25">
      <c r="D1076">
        <v>31989</v>
      </c>
      <c r="Y1076">
        <v>31989</v>
      </c>
    </row>
    <row r="1077" spans="4:25">
      <c r="D1077">
        <v>32020</v>
      </c>
      <c r="Y1077">
        <v>32020</v>
      </c>
    </row>
    <row r="1078" spans="4:25">
      <c r="D1078">
        <v>32050</v>
      </c>
      <c r="Y1078">
        <v>32050</v>
      </c>
    </row>
    <row r="1079" spans="4:25">
      <c r="D1079">
        <v>32081</v>
      </c>
      <c r="Y1079">
        <v>32081</v>
      </c>
    </row>
    <row r="1080" spans="4:25">
      <c r="D1080">
        <v>32111</v>
      </c>
      <c r="Y1080">
        <v>32111</v>
      </c>
    </row>
    <row r="1081" spans="4:25">
      <c r="D1081">
        <v>32142</v>
      </c>
      <c r="Y1081">
        <v>32142</v>
      </c>
    </row>
    <row r="1082" spans="4:25">
      <c r="D1082">
        <v>32173</v>
      </c>
      <c r="Y1082">
        <v>32173</v>
      </c>
    </row>
    <row r="1083" spans="4:25">
      <c r="D1083">
        <v>32201</v>
      </c>
      <c r="Y1083">
        <v>32201</v>
      </c>
    </row>
    <row r="1084" spans="4:25">
      <c r="D1084">
        <v>32232</v>
      </c>
      <c r="Y1084">
        <v>32232</v>
      </c>
    </row>
    <row r="1085" spans="4:25">
      <c r="D1085">
        <v>32262</v>
      </c>
      <c r="Y1085">
        <v>32262</v>
      </c>
    </row>
    <row r="1086" spans="4:25">
      <c r="D1086">
        <v>32293</v>
      </c>
      <c r="Y1086">
        <v>32293</v>
      </c>
    </row>
    <row r="1087" spans="4:25">
      <c r="D1087">
        <v>32323</v>
      </c>
      <c r="Y1087">
        <v>32323</v>
      </c>
    </row>
    <row r="1088" spans="4:25">
      <c r="D1088">
        <v>32354</v>
      </c>
      <c r="Y1088">
        <v>32354</v>
      </c>
    </row>
    <row r="1089" spans="4:25">
      <c r="D1089">
        <v>32385</v>
      </c>
      <c r="Y1089">
        <v>32385</v>
      </c>
    </row>
    <row r="1090" spans="4:25">
      <c r="D1090">
        <v>32415</v>
      </c>
      <c r="Y1090">
        <v>32415</v>
      </c>
    </row>
    <row r="1091" spans="4:25">
      <c r="D1091">
        <v>32446</v>
      </c>
      <c r="Y1091">
        <v>32446</v>
      </c>
    </row>
    <row r="1092" spans="4:25">
      <c r="D1092">
        <v>32476</v>
      </c>
      <c r="Y1092">
        <v>32476</v>
      </c>
    </row>
    <row r="1093" spans="4:25">
      <c r="D1093">
        <v>32507</v>
      </c>
      <c r="Y1093">
        <v>32507</v>
      </c>
    </row>
    <row r="1094" spans="4:25">
      <c r="D1094">
        <v>32538</v>
      </c>
      <c r="Y1094">
        <v>32538</v>
      </c>
    </row>
    <row r="1095" spans="4:25">
      <c r="D1095">
        <v>32566</v>
      </c>
      <c r="Y1095">
        <v>32566</v>
      </c>
    </row>
    <row r="1096" spans="4:25">
      <c r="D1096">
        <v>32597</v>
      </c>
      <c r="Y1096">
        <v>32597</v>
      </c>
    </row>
    <row r="1097" spans="4:25">
      <c r="D1097">
        <v>32627</v>
      </c>
      <c r="Y1097">
        <v>32627</v>
      </c>
    </row>
    <row r="1098" spans="4:25">
      <c r="D1098">
        <v>32658</v>
      </c>
      <c r="Y1098">
        <v>32658</v>
      </c>
    </row>
    <row r="1099" spans="4:25">
      <c r="D1099">
        <v>32688</v>
      </c>
      <c r="Y1099">
        <v>32688</v>
      </c>
    </row>
    <row r="1100" spans="4:25">
      <c r="D1100">
        <v>32719</v>
      </c>
      <c r="Y1100">
        <v>32719</v>
      </c>
    </row>
    <row r="1101" spans="4:25">
      <c r="D1101">
        <v>32750</v>
      </c>
      <c r="Y1101">
        <v>32750</v>
      </c>
    </row>
    <row r="1102" spans="4:25">
      <c r="D1102">
        <v>32780</v>
      </c>
      <c r="Y1102">
        <v>32780</v>
      </c>
    </row>
    <row r="1103" spans="4:25">
      <c r="D1103">
        <v>32811</v>
      </c>
      <c r="Y1103">
        <v>32811</v>
      </c>
    </row>
    <row r="1104" spans="4:25">
      <c r="D1104">
        <v>32841</v>
      </c>
      <c r="Y1104">
        <v>32841</v>
      </c>
    </row>
    <row r="1105" spans="4:25">
      <c r="D1105">
        <v>32872</v>
      </c>
      <c r="Y1105">
        <v>32872</v>
      </c>
    </row>
    <row r="1106" spans="4:25">
      <c r="D1106">
        <v>32903</v>
      </c>
      <c r="Y1106">
        <v>32903</v>
      </c>
    </row>
    <row r="1107" spans="4:25">
      <c r="D1107">
        <v>32931</v>
      </c>
      <c r="Y1107">
        <v>32931</v>
      </c>
    </row>
    <row r="1108" spans="4:25">
      <c r="D1108">
        <v>32962</v>
      </c>
      <c r="Y1108">
        <v>32962</v>
      </c>
    </row>
    <row r="1109" spans="4:25">
      <c r="D1109">
        <v>32992</v>
      </c>
      <c r="Y1109">
        <v>32992</v>
      </c>
    </row>
    <row r="1110" spans="4:25">
      <c r="D1110">
        <v>33023</v>
      </c>
      <c r="Y1110">
        <v>33023</v>
      </c>
    </row>
    <row r="1111" spans="4:25">
      <c r="D1111">
        <v>33053</v>
      </c>
      <c r="Y1111">
        <v>33053</v>
      </c>
    </row>
    <row r="1112" spans="4:25">
      <c r="D1112">
        <v>33084</v>
      </c>
      <c r="Y1112">
        <v>33084</v>
      </c>
    </row>
    <row r="1113" spans="4:25">
      <c r="D1113">
        <v>33115</v>
      </c>
      <c r="Y1113">
        <v>33115</v>
      </c>
    </row>
    <row r="1114" spans="4:25">
      <c r="D1114">
        <v>33145</v>
      </c>
      <c r="Y1114">
        <v>33145</v>
      </c>
    </row>
    <row r="1115" spans="4:25">
      <c r="D1115">
        <v>33176</v>
      </c>
      <c r="Y1115">
        <v>33176</v>
      </c>
    </row>
    <row r="1116" spans="4:25">
      <c r="D1116">
        <v>33206</v>
      </c>
      <c r="Y1116">
        <v>33206</v>
      </c>
    </row>
    <row r="1117" spans="4:25">
      <c r="D1117">
        <v>33237</v>
      </c>
      <c r="Y1117">
        <v>33237</v>
      </c>
    </row>
    <row r="1118" spans="4:25">
      <c r="D1118">
        <v>33268</v>
      </c>
      <c r="Y1118">
        <v>33268</v>
      </c>
    </row>
    <row r="1119" spans="4:25">
      <c r="D1119">
        <v>33296</v>
      </c>
      <c r="Y1119">
        <v>33296</v>
      </c>
    </row>
    <row r="1120" spans="4:25">
      <c r="D1120">
        <v>33327</v>
      </c>
      <c r="Y1120">
        <v>33327</v>
      </c>
    </row>
    <row r="1121" spans="4:25">
      <c r="D1121">
        <v>33357</v>
      </c>
      <c r="Y1121">
        <v>33357</v>
      </c>
    </row>
    <row r="1122" spans="4:25">
      <c r="D1122">
        <v>33388</v>
      </c>
      <c r="Y1122">
        <v>33388</v>
      </c>
    </row>
    <row r="1123" spans="4:25">
      <c r="D1123">
        <v>33418</v>
      </c>
      <c r="Y1123">
        <v>33418</v>
      </c>
    </row>
    <row r="1124" spans="4:25">
      <c r="D1124">
        <v>33449</v>
      </c>
      <c r="Y1124">
        <v>33449</v>
      </c>
    </row>
    <row r="1125" spans="4:25">
      <c r="D1125">
        <v>33480</v>
      </c>
      <c r="Y1125">
        <v>33480</v>
      </c>
    </row>
    <row r="1126" spans="4:25">
      <c r="D1126">
        <v>33510</v>
      </c>
      <c r="Y1126">
        <v>33510</v>
      </c>
    </row>
    <row r="1127" spans="4:25">
      <c r="D1127">
        <v>33541</v>
      </c>
      <c r="Y1127">
        <v>33541</v>
      </c>
    </row>
    <row r="1128" spans="4:25">
      <c r="D1128">
        <v>33571</v>
      </c>
      <c r="Y1128">
        <v>33571</v>
      </c>
    </row>
    <row r="1129" spans="4:25">
      <c r="D1129">
        <v>33602</v>
      </c>
      <c r="Y1129">
        <v>33602</v>
      </c>
    </row>
    <row r="1130" spans="4:25">
      <c r="D1130">
        <v>33633</v>
      </c>
      <c r="Y1130">
        <v>33633</v>
      </c>
    </row>
    <row r="1131" spans="4:25">
      <c r="D1131">
        <v>33661</v>
      </c>
      <c r="Y1131">
        <v>33661</v>
      </c>
    </row>
    <row r="1132" spans="4:25">
      <c r="D1132">
        <v>33692</v>
      </c>
      <c r="Y1132">
        <v>33692</v>
      </c>
    </row>
    <row r="1133" spans="4:25">
      <c r="D1133">
        <v>33722</v>
      </c>
      <c r="Y1133">
        <v>33722</v>
      </c>
    </row>
    <row r="1134" spans="4:25">
      <c r="D1134">
        <v>33753</v>
      </c>
      <c r="Y1134">
        <v>33753</v>
      </c>
    </row>
    <row r="1135" spans="4:25">
      <c r="D1135">
        <v>33783</v>
      </c>
      <c r="Y1135">
        <v>33783</v>
      </c>
    </row>
    <row r="1136" spans="4:25">
      <c r="D1136">
        <v>33813</v>
      </c>
      <c r="Y1136">
        <v>33813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I1136"/>
  <sheetViews>
    <sheetView zoomScale="59" zoomScaleNormal="59" workbookViewId="0">
      <selection activeCell="Z24" sqref="Z24"/>
    </sheetView>
  </sheetViews>
  <sheetFormatPr defaultRowHeight="14.4"/>
  <cols>
    <col min="1" max="1" width="10.5546875" bestFit="1" customWidth="1"/>
    <col min="2" max="2" width="18.109375" customWidth="1"/>
    <col min="3" max="3" width="24.5546875" customWidth="1"/>
    <col min="4" max="4" width="9" customWidth="1"/>
    <col min="5" max="5" width="11" bestFit="1" customWidth="1"/>
    <col min="6" max="6" width="9.109375" bestFit="1" customWidth="1"/>
  </cols>
  <sheetData>
    <row r="1" spans="3:35">
      <c r="C1" t="s">
        <v>35</v>
      </c>
      <c r="E1">
        <f>E2/E24</f>
        <v>3210.9988422554338</v>
      </c>
      <c r="F1">
        <f t="shared" ref="F1:K1" si="0">F2/F24</f>
        <v>3210.9988422554338</v>
      </c>
      <c r="G1">
        <f t="shared" si="0"/>
        <v>3210.9988422554338</v>
      </c>
      <c r="H1">
        <f t="shared" si="0"/>
        <v>3210.9988422554338</v>
      </c>
      <c r="I1">
        <f t="shared" si="0"/>
        <v>3210.9988422554338</v>
      </c>
      <c r="J1">
        <f t="shared" si="0"/>
        <v>3210.9988422554338</v>
      </c>
      <c r="K1">
        <f t="shared" si="0"/>
        <v>3210.9988422554338</v>
      </c>
    </row>
    <row r="2" spans="3:35">
      <c r="C2" t="s">
        <v>34</v>
      </c>
      <c r="E2">
        <f>SQRT(E3/PI()*43560)</f>
        <v>1053.2076202597823</v>
      </c>
      <c r="F2">
        <f t="shared" ref="F2:K2" si="1">SQRT(F3/PI()*43560)</f>
        <v>1053.2076202597823</v>
      </c>
      <c r="G2">
        <f t="shared" si="1"/>
        <v>1053.2076202597823</v>
      </c>
      <c r="H2">
        <f t="shared" si="1"/>
        <v>1053.2076202597823</v>
      </c>
      <c r="I2">
        <f t="shared" si="1"/>
        <v>1053.2076202597823</v>
      </c>
      <c r="J2">
        <f t="shared" si="1"/>
        <v>1053.2076202597823</v>
      </c>
      <c r="K2">
        <f t="shared" si="1"/>
        <v>1053.2076202597823</v>
      </c>
    </row>
    <row r="3" spans="3:35">
      <c r="C3" s="1" t="s">
        <v>32</v>
      </c>
      <c r="D3" t="s">
        <v>33</v>
      </c>
      <c r="E3" s="3">
        <f>E16*E17/43560</f>
        <v>80</v>
      </c>
      <c r="F3" s="3">
        <f t="shared" ref="F3:K3" si="2">F16*F17/43560</f>
        <v>80</v>
      </c>
      <c r="G3" s="3">
        <f t="shared" si="2"/>
        <v>80</v>
      </c>
      <c r="H3" s="3">
        <f t="shared" si="2"/>
        <v>80</v>
      </c>
      <c r="I3" s="3">
        <f t="shared" si="2"/>
        <v>80</v>
      </c>
      <c r="J3" s="3">
        <f t="shared" si="2"/>
        <v>80</v>
      </c>
      <c r="K3" s="3">
        <f t="shared" si="2"/>
        <v>80</v>
      </c>
    </row>
    <row r="4" spans="3:35"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</row>
    <row r="5" spans="3:35">
      <c r="C5" s="1" t="s">
        <v>0</v>
      </c>
      <c r="D5" s="1" t="s">
        <v>31</v>
      </c>
      <c r="E5" s="4">
        <v>1E-3</v>
      </c>
      <c r="F5" s="4">
        <v>0.01</v>
      </c>
      <c r="G5" s="4">
        <v>0.5</v>
      </c>
      <c r="H5" s="4">
        <v>1</v>
      </c>
      <c r="I5" s="4">
        <v>2</v>
      </c>
      <c r="J5" s="4">
        <v>5</v>
      </c>
      <c r="K5" s="4">
        <v>10</v>
      </c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</row>
    <row r="6" spans="3:35">
      <c r="C6" t="s">
        <v>1</v>
      </c>
      <c r="D6" t="s">
        <v>2</v>
      </c>
      <c r="E6" s="4">
        <v>700</v>
      </c>
      <c r="F6" s="4">
        <f>E6</f>
        <v>700</v>
      </c>
      <c r="G6" s="4">
        <f t="shared" ref="G6:K7" si="3">F6</f>
        <v>700</v>
      </c>
      <c r="H6" s="4">
        <f t="shared" si="3"/>
        <v>700</v>
      </c>
      <c r="I6" s="4">
        <f t="shared" si="3"/>
        <v>700</v>
      </c>
      <c r="J6" s="4">
        <f t="shared" si="3"/>
        <v>700</v>
      </c>
      <c r="K6" s="4">
        <f t="shared" si="3"/>
        <v>700</v>
      </c>
      <c r="L6" s="2"/>
      <c r="M6" s="2"/>
      <c r="N6" s="2"/>
      <c r="O6" s="2"/>
      <c r="P6" s="2"/>
      <c r="Q6" s="2"/>
      <c r="W6" t="s">
        <v>46</v>
      </c>
      <c r="X6" s="10"/>
      <c r="Y6" s="10"/>
      <c r="Z6" s="13">
        <v>1</v>
      </c>
      <c r="AA6" s="10"/>
      <c r="AB6" s="10"/>
      <c r="AC6" s="10"/>
      <c r="AD6" s="10"/>
      <c r="AE6" s="10"/>
      <c r="AF6" s="10"/>
      <c r="AG6" s="10"/>
      <c r="AH6" s="10"/>
      <c r="AI6" s="10"/>
    </row>
    <row r="7" spans="3:35">
      <c r="C7" t="s">
        <v>3</v>
      </c>
      <c r="D7" t="s">
        <v>2</v>
      </c>
      <c r="E7" s="4">
        <v>50</v>
      </c>
      <c r="F7" s="4">
        <f>E7</f>
        <v>50</v>
      </c>
      <c r="G7" s="4">
        <f t="shared" si="3"/>
        <v>50</v>
      </c>
      <c r="H7" s="4">
        <f t="shared" si="3"/>
        <v>50</v>
      </c>
      <c r="I7" s="4">
        <f t="shared" si="3"/>
        <v>50</v>
      </c>
      <c r="J7" s="4">
        <f t="shared" si="3"/>
        <v>50</v>
      </c>
      <c r="K7" s="4">
        <f t="shared" si="3"/>
        <v>50</v>
      </c>
      <c r="L7" s="2"/>
      <c r="M7" s="2"/>
      <c r="N7" s="2"/>
      <c r="O7" s="2"/>
      <c r="P7" s="2"/>
      <c r="Q7" s="2"/>
      <c r="W7" s="10" t="s">
        <v>38</v>
      </c>
      <c r="X7" s="10"/>
      <c r="Y7" s="11" t="s">
        <v>39</v>
      </c>
      <c r="Z7" s="11"/>
      <c r="AA7" s="10"/>
      <c r="AB7" s="10"/>
      <c r="AC7" s="10"/>
      <c r="AD7" s="10"/>
      <c r="AE7" s="10"/>
      <c r="AF7" s="10"/>
      <c r="AG7" s="10"/>
      <c r="AH7" s="10"/>
      <c r="AI7" s="10"/>
    </row>
    <row r="8" spans="3:35">
      <c r="C8" t="s">
        <v>4</v>
      </c>
      <c r="D8" t="s">
        <v>5</v>
      </c>
      <c r="E8" s="4">
        <v>2</v>
      </c>
      <c r="F8" s="4">
        <v>2</v>
      </c>
      <c r="G8" s="4">
        <v>2</v>
      </c>
      <c r="H8" s="4">
        <v>2</v>
      </c>
      <c r="I8" s="4">
        <v>2</v>
      </c>
      <c r="J8" s="4">
        <v>2</v>
      </c>
      <c r="K8" s="4">
        <v>2</v>
      </c>
      <c r="L8" s="2"/>
      <c r="M8" s="2"/>
      <c r="N8" s="2"/>
      <c r="O8" s="2"/>
      <c r="P8" s="2"/>
      <c r="Q8" s="2"/>
      <c r="W8" s="11" t="s">
        <v>43</v>
      </c>
      <c r="X8" s="11" t="s">
        <v>44</v>
      </c>
      <c r="Y8" s="11" t="s">
        <v>41</v>
      </c>
      <c r="Z8" s="11" t="s">
        <v>42</v>
      </c>
      <c r="AA8" s="10" t="s">
        <v>40</v>
      </c>
      <c r="AB8" s="10"/>
      <c r="AC8" s="10"/>
      <c r="AD8" s="10"/>
      <c r="AE8" s="10"/>
      <c r="AF8" s="10"/>
      <c r="AG8" s="10"/>
      <c r="AH8" s="10"/>
      <c r="AI8" s="10"/>
    </row>
    <row r="9" spans="3:35">
      <c r="C9" t="s">
        <v>6</v>
      </c>
      <c r="D9" t="s">
        <v>7</v>
      </c>
      <c r="E9" s="4">
        <v>0.15</v>
      </c>
      <c r="F9" s="4">
        <f>E9</f>
        <v>0.15</v>
      </c>
      <c r="G9" s="4">
        <f t="shared" ref="G9:K21" si="4">F9</f>
        <v>0.15</v>
      </c>
      <c r="H9" s="4">
        <f t="shared" si="4"/>
        <v>0.15</v>
      </c>
      <c r="I9" s="4">
        <f t="shared" si="4"/>
        <v>0.15</v>
      </c>
      <c r="J9" s="4">
        <f t="shared" si="4"/>
        <v>0.15</v>
      </c>
      <c r="K9" s="4">
        <f t="shared" si="4"/>
        <v>0.15</v>
      </c>
      <c r="L9" s="2"/>
      <c r="M9" s="2"/>
      <c r="N9" s="2"/>
      <c r="O9" s="2"/>
      <c r="P9" s="2"/>
      <c r="Q9" s="2"/>
      <c r="W9" s="11">
        <v>0</v>
      </c>
      <c r="X9" s="11">
        <v>0</v>
      </c>
      <c r="Y9" s="11">
        <f>INDEX(Xw,1,$Z$6)</f>
        <v>1320</v>
      </c>
      <c r="Z9" s="11">
        <f>INDEX(Yw,1,$Z$6)</f>
        <v>660</v>
      </c>
      <c r="AA9" s="10">
        <f>Y9-INDEX(xf,1,$Z$6)</f>
        <v>1270</v>
      </c>
      <c r="AB9" s="10">
        <f>Z9</f>
        <v>660</v>
      </c>
      <c r="AC9" s="10"/>
      <c r="AD9" s="10"/>
      <c r="AE9" s="10"/>
      <c r="AF9" s="10"/>
      <c r="AG9" s="10"/>
      <c r="AH9" s="10"/>
      <c r="AI9" s="10"/>
    </row>
    <row r="10" spans="3:35">
      <c r="C10" t="s">
        <v>8</v>
      </c>
      <c r="D10" t="s">
        <v>9</v>
      </c>
      <c r="E10" s="4">
        <v>0.185</v>
      </c>
      <c r="F10" s="4">
        <f t="shared" ref="F10:F21" si="5">E10</f>
        <v>0.185</v>
      </c>
      <c r="G10" s="4">
        <f t="shared" si="4"/>
        <v>0.185</v>
      </c>
      <c r="H10" s="4">
        <f t="shared" si="4"/>
        <v>0.185</v>
      </c>
      <c r="I10" s="4">
        <f t="shared" si="4"/>
        <v>0.185</v>
      </c>
      <c r="J10" s="4">
        <f t="shared" si="4"/>
        <v>0.185</v>
      </c>
      <c r="K10" s="4">
        <f t="shared" si="4"/>
        <v>0.185</v>
      </c>
      <c r="L10" s="2"/>
      <c r="M10" s="2"/>
      <c r="N10" s="2"/>
      <c r="O10" s="2"/>
      <c r="P10" s="2"/>
      <c r="Q10" s="2"/>
      <c r="W10" s="11">
        <f>INDEX(Xe,1,$Z$6)</f>
        <v>2640</v>
      </c>
      <c r="X10" s="11">
        <v>0</v>
      </c>
      <c r="Y10" s="10"/>
      <c r="Z10" s="10"/>
      <c r="AA10" s="10">
        <f>Y9+INDEX(xf,1,$Z$6)</f>
        <v>1370</v>
      </c>
      <c r="AB10" s="10">
        <f>Z9</f>
        <v>660</v>
      </c>
      <c r="AC10" s="10"/>
      <c r="AD10" s="10"/>
      <c r="AE10" s="10"/>
      <c r="AF10" s="10"/>
      <c r="AG10" s="10"/>
      <c r="AH10" s="10"/>
      <c r="AI10" s="10"/>
    </row>
    <row r="11" spans="3:35">
      <c r="C11" t="s">
        <v>10</v>
      </c>
      <c r="D11" t="s">
        <v>11</v>
      </c>
      <c r="E11" s="4">
        <v>2.6999999999999999E-5</v>
      </c>
      <c r="F11" s="4">
        <f t="shared" si="5"/>
        <v>2.6999999999999999E-5</v>
      </c>
      <c r="G11" s="4">
        <f t="shared" si="4"/>
        <v>2.6999999999999999E-5</v>
      </c>
      <c r="H11" s="4">
        <f t="shared" si="4"/>
        <v>2.6999999999999999E-5</v>
      </c>
      <c r="I11" s="4">
        <f t="shared" si="4"/>
        <v>2.6999999999999999E-5</v>
      </c>
      <c r="J11" s="4">
        <f t="shared" si="4"/>
        <v>2.6999999999999999E-5</v>
      </c>
      <c r="K11" s="4">
        <f t="shared" si="4"/>
        <v>2.6999999999999999E-5</v>
      </c>
      <c r="L11" s="2"/>
      <c r="M11" s="2"/>
      <c r="N11" s="2"/>
      <c r="O11" s="2"/>
      <c r="P11" s="2"/>
      <c r="Q11" s="2"/>
      <c r="W11" s="11">
        <f>W10</f>
        <v>2640</v>
      </c>
      <c r="X11" s="11">
        <f>INDEX(Ye,1,$Z$6)</f>
        <v>1320</v>
      </c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</row>
    <row r="12" spans="3:35">
      <c r="C12" t="s">
        <v>12</v>
      </c>
      <c r="D12" t="s">
        <v>13</v>
      </c>
      <c r="E12" s="4">
        <v>1.3</v>
      </c>
      <c r="F12" s="4">
        <f t="shared" si="5"/>
        <v>1.3</v>
      </c>
      <c r="G12" s="4">
        <f t="shared" si="4"/>
        <v>1.3</v>
      </c>
      <c r="H12" s="4">
        <f t="shared" si="4"/>
        <v>1.3</v>
      </c>
      <c r="I12" s="4">
        <f t="shared" si="4"/>
        <v>1.3</v>
      </c>
      <c r="J12" s="4">
        <f t="shared" si="4"/>
        <v>1.3</v>
      </c>
      <c r="K12" s="4">
        <f t="shared" si="4"/>
        <v>1.3</v>
      </c>
      <c r="L12" s="2"/>
      <c r="M12" s="2"/>
      <c r="N12" s="2"/>
      <c r="O12" s="2"/>
      <c r="P12" s="2"/>
      <c r="Q12" s="2"/>
      <c r="W12" s="11">
        <v>0</v>
      </c>
      <c r="X12" s="11">
        <f>X11</f>
        <v>1320</v>
      </c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</row>
    <row r="13" spans="3:35">
      <c r="C13" t="s">
        <v>14</v>
      </c>
      <c r="D13" t="s">
        <v>15</v>
      </c>
      <c r="E13" s="4">
        <v>12</v>
      </c>
      <c r="F13" s="4">
        <f t="shared" si="5"/>
        <v>12</v>
      </c>
      <c r="G13" s="4">
        <f t="shared" si="4"/>
        <v>12</v>
      </c>
      <c r="H13" s="4">
        <f t="shared" si="4"/>
        <v>12</v>
      </c>
      <c r="I13" s="4">
        <f t="shared" si="4"/>
        <v>12</v>
      </c>
      <c r="J13" s="4">
        <f t="shared" si="4"/>
        <v>12</v>
      </c>
      <c r="K13" s="4">
        <f t="shared" si="4"/>
        <v>12</v>
      </c>
      <c r="L13" s="2"/>
      <c r="M13" s="2"/>
      <c r="N13" s="2"/>
      <c r="O13" s="2"/>
      <c r="P13" s="2"/>
      <c r="Q13" s="2"/>
      <c r="W13" s="11">
        <v>0</v>
      </c>
      <c r="X13" s="11">
        <v>0</v>
      </c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</row>
    <row r="14" spans="3:35">
      <c r="C14" t="s">
        <v>29</v>
      </c>
      <c r="D14" t="s">
        <v>15</v>
      </c>
      <c r="E14" s="4">
        <v>0.32800000000000001</v>
      </c>
      <c r="F14" s="4">
        <f t="shared" si="5"/>
        <v>0.32800000000000001</v>
      </c>
      <c r="G14" s="4">
        <f t="shared" si="4"/>
        <v>0.32800000000000001</v>
      </c>
      <c r="H14" s="4">
        <f t="shared" si="4"/>
        <v>0.32800000000000001</v>
      </c>
      <c r="I14" s="4">
        <f t="shared" si="4"/>
        <v>0.32800000000000001</v>
      </c>
      <c r="J14" s="4">
        <f t="shared" si="4"/>
        <v>0.32800000000000001</v>
      </c>
      <c r="K14" s="4">
        <f t="shared" si="4"/>
        <v>0.32800000000000001</v>
      </c>
      <c r="L14" s="2"/>
      <c r="M14" s="2"/>
      <c r="N14" s="2"/>
      <c r="O14" s="2"/>
      <c r="P14" s="2"/>
      <c r="Q14" s="2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</row>
    <row r="15" spans="3:35">
      <c r="C15" t="s">
        <v>16</v>
      </c>
      <c r="D15" t="s">
        <v>15</v>
      </c>
      <c r="E15" s="4">
        <v>50</v>
      </c>
      <c r="F15" s="4">
        <v>50</v>
      </c>
      <c r="G15" s="4">
        <v>50</v>
      </c>
      <c r="H15" s="4">
        <v>50</v>
      </c>
      <c r="I15" s="4">
        <v>50</v>
      </c>
      <c r="J15" s="4">
        <v>50</v>
      </c>
      <c r="K15" s="4">
        <v>50</v>
      </c>
      <c r="L15" s="2"/>
      <c r="M15" s="2"/>
      <c r="N15" s="2"/>
      <c r="O15" s="2"/>
      <c r="P15" s="2"/>
      <c r="Q15" s="2"/>
      <c r="W15" s="12" t="s">
        <v>32</v>
      </c>
      <c r="X15" s="11">
        <f>W11*X11/43560</f>
        <v>80</v>
      </c>
      <c r="Y15" s="12" t="s">
        <v>45</v>
      </c>
      <c r="Z15" s="10"/>
      <c r="AA15" s="10"/>
      <c r="AB15" s="10"/>
      <c r="AC15" s="10"/>
      <c r="AD15" s="10"/>
      <c r="AE15" s="10"/>
      <c r="AF15" s="10"/>
      <c r="AG15" s="10"/>
      <c r="AH15" s="10"/>
      <c r="AI15" s="10"/>
    </row>
    <row r="16" spans="3:35">
      <c r="C16" t="s">
        <v>17</v>
      </c>
      <c r="D16" t="s">
        <v>15</v>
      </c>
      <c r="E16" s="4">
        <f>5280/2</f>
        <v>2640</v>
      </c>
      <c r="F16" s="4">
        <f t="shared" si="5"/>
        <v>2640</v>
      </c>
      <c r="G16" s="4">
        <f t="shared" si="4"/>
        <v>2640</v>
      </c>
      <c r="H16" s="4">
        <f t="shared" si="4"/>
        <v>2640</v>
      </c>
      <c r="I16" s="4">
        <f t="shared" si="4"/>
        <v>2640</v>
      </c>
      <c r="J16" s="4">
        <f t="shared" si="4"/>
        <v>2640</v>
      </c>
      <c r="K16" s="4">
        <f t="shared" si="4"/>
        <v>2640</v>
      </c>
      <c r="L16" s="2"/>
      <c r="M16" s="2"/>
      <c r="N16" s="2"/>
      <c r="O16" s="2"/>
      <c r="P16" s="2"/>
      <c r="Q16" s="2"/>
      <c r="W16" s="10" t="str">
        <f>"Model Geometry &amp; Well Location" &amp;CHAR(13)&amp; "Area: " &amp; ROUND(X15,0) &amp; "Acres"</f>
        <v>Model Geometry &amp; Well Location_x000D_Area: 80Acres</v>
      </c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</row>
    <row r="17" spans="1:35">
      <c r="C17" t="s">
        <v>18</v>
      </c>
      <c r="D17" t="s">
        <v>15</v>
      </c>
      <c r="E17" s="4">
        <f>5280/4</f>
        <v>1320</v>
      </c>
      <c r="F17" s="4">
        <f t="shared" si="5"/>
        <v>1320</v>
      </c>
      <c r="G17" s="4">
        <f t="shared" si="4"/>
        <v>1320</v>
      </c>
      <c r="H17" s="4">
        <f t="shared" si="4"/>
        <v>1320</v>
      </c>
      <c r="I17" s="4">
        <f t="shared" si="4"/>
        <v>1320</v>
      </c>
      <c r="J17" s="4">
        <f t="shared" si="4"/>
        <v>1320</v>
      </c>
      <c r="K17" s="4">
        <f t="shared" si="4"/>
        <v>1320</v>
      </c>
      <c r="L17" s="2"/>
      <c r="M17" s="2"/>
      <c r="N17" s="2"/>
      <c r="O17" s="2"/>
      <c r="P17" s="2"/>
      <c r="Q17" s="2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</row>
    <row r="18" spans="1:35">
      <c r="C18" t="s">
        <v>19</v>
      </c>
      <c r="D18" t="s">
        <v>15</v>
      </c>
      <c r="E18" s="4">
        <f>Xe/2</f>
        <v>1320</v>
      </c>
      <c r="F18" s="4">
        <f t="shared" si="5"/>
        <v>1320</v>
      </c>
      <c r="G18" s="4">
        <f t="shared" si="4"/>
        <v>1320</v>
      </c>
      <c r="H18" s="4">
        <f t="shared" si="4"/>
        <v>1320</v>
      </c>
      <c r="I18" s="4">
        <f t="shared" si="4"/>
        <v>1320</v>
      </c>
      <c r="J18" s="4">
        <f t="shared" si="4"/>
        <v>1320</v>
      </c>
      <c r="K18" s="4">
        <f t="shared" si="4"/>
        <v>1320</v>
      </c>
      <c r="L18" s="2"/>
      <c r="M18" s="2"/>
      <c r="N18" s="2"/>
      <c r="O18" s="2"/>
      <c r="P18" s="2"/>
      <c r="Q18" s="2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</row>
    <row r="19" spans="1:35">
      <c r="C19" t="s">
        <v>20</v>
      </c>
      <c r="D19" t="s">
        <v>15</v>
      </c>
      <c r="E19" s="4">
        <f>5280/8</f>
        <v>660</v>
      </c>
      <c r="F19" s="4">
        <f t="shared" si="5"/>
        <v>660</v>
      </c>
      <c r="G19" s="4">
        <f t="shared" si="4"/>
        <v>660</v>
      </c>
      <c r="H19" s="4">
        <f t="shared" si="4"/>
        <v>660</v>
      </c>
      <c r="I19" s="4">
        <f t="shared" si="4"/>
        <v>660</v>
      </c>
      <c r="J19" s="4">
        <f t="shared" si="4"/>
        <v>660</v>
      </c>
      <c r="K19" s="4">
        <f t="shared" si="4"/>
        <v>660</v>
      </c>
      <c r="L19" s="2"/>
      <c r="M19" s="2"/>
      <c r="N19" s="2"/>
      <c r="O19" s="2"/>
      <c r="P19" s="2"/>
      <c r="Q19" s="2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</row>
    <row r="20" spans="1:35">
      <c r="C20" t="s">
        <v>21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2"/>
      <c r="M20" s="2"/>
      <c r="N20" s="2"/>
      <c r="O20" s="2"/>
      <c r="P20" s="2"/>
      <c r="Q20" s="2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</row>
    <row r="21" spans="1:35">
      <c r="C21" t="s">
        <v>22</v>
      </c>
      <c r="E21" s="4">
        <v>0</v>
      </c>
      <c r="F21" s="4">
        <f t="shared" si="5"/>
        <v>0</v>
      </c>
      <c r="G21" s="4">
        <f t="shared" si="4"/>
        <v>0</v>
      </c>
      <c r="H21" s="4">
        <f t="shared" si="4"/>
        <v>0</v>
      </c>
      <c r="I21" s="4">
        <f t="shared" si="4"/>
        <v>0</v>
      </c>
      <c r="J21" s="4">
        <f t="shared" si="4"/>
        <v>0</v>
      </c>
      <c r="K21" s="4">
        <f t="shared" si="4"/>
        <v>0</v>
      </c>
      <c r="L21" s="2"/>
      <c r="M21" s="2"/>
      <c r="N21" s="2"/>
      <c r="O21" s="2"/>
      <c r="P21" s="2"/>
      <c r="Q21" s="2"/>
    </row>
    <row r="22" spans="1:35">
      <c r="C22" t="s">
        <v>23</v>
      </c>
      <c r="D22" t="s">
        <v>36</v>
      </c>
      <c r="E22" s="4">
        <v>0.01</v>
      </c>
      <c r="F22" s="4">
        <v>0.2</v>
      </c>
      <c r="G22" s="4">
        <v>0.3</v>
      </c>
      <c r="H22" s="4">
        <v>0.5</v>
      </c>
      <c r="I22" s="4">
        <v>0.4</v>
      </c>
      <c r="J22" s="4">
        <v>0.6</v>
      </c>
      <c r="K22" s="4">
        <v>0.7</v>
      </c>
      <c r="L22" s="2"/>
      <c r="M22" s="2"/>
      <c r="N22" s="2"/>
      <c r="O22" s="2"/>
      <c r="P22" s="2"/>
      <c r="Q22" s="2"/>
    </row>
    <row r="23" spans="1:35">
      <c r="C23" t="s">
        <v>25</v>
      </c>
      <c r="D23" t="s">
        <v>37</v>
      </c>
      <c r="E23" s="9">
        <v>1E-4</v>
      </c>
      <c r="F23" s="9">
        <v>1E-4</v>
      </c>
      <c r="G23" s="9">
        <v>1E-4</v>
      </c>
      <c r="H23" s="9">
        <v>1E-4</v>
      </c>
      <c r="I23" s="9">
        <v>1E-4</v>
      </c>
      <c r="J23" s="9">
        <v>1E-4</v>
      </c>
      <c r="K23" s="9">
        <v>1E-4</v>
      </c>
      <c r="L23" s="2"/>
      <c r="M23" s="2"/>
      <c r="N23" s="2"/>
      <c r="O23" s="2"/>
      <c r="P23" s="2"/>
      <c r="Q23" s="2"/>
    </row>
    <row r="24" spans="1:35">
      <c r="B24" s="3">
        <v>5.5E-2</v>
      </c>
      <c r="C24" t="s">
        <v>30</v>
      </c>
      <c r="E24" s="7">
        <f>E14*EXP(-E20)</f>
        <v>0.32800000000000001</v>
      </c>
      <c r="F24" s="7">
        <f t="shared" ref="F24:K24" si="6">F14*EXP(-F20)</f>
        <v>0.32800000000000001</v>
      </c>
      <c r="G24" s="7">
        <f t="shared" si="6"/>
        <v>0.32800000000000001</v>
      </c>
      <c r="H24" s="7">
        <f t="shared" si="6"/>
        <v>0.32800000000000001</v>
      </c>
      <c r="I24" s="7">
        <f t="shared" si="6"/>
        <v>0.32800000000000001</v>
      </c>
      <c r="J24" s="7">
        <f t="shared" si="6"/>
        <v>0.32800000000000001</v>
      </c>
      <c r="K24" s="7">
        <f t="shared" si="6"/>
        <v>0.32800000000000001</v>
      </c>
    </row>
    <row r="25" spans="1:35" ht="28.8">
      <c r="A25" s="6" t="s">
        <v>28</v>
      </c>
      <c r="B25" s="6" t="s">
        <v>27</v>
      </c>
      <c r="C25" s="6"/>
      <c r="D25" s="6" t="s">
        <v>26</v>
      </c>
    </row>
    <row r="26" spans="1:35">
      <c r="A26" s="3">
        <f t="shared" ref="A26:A89" si="7">D26/365</f>
        <v>8.4931506849315067E-2</v>
      </c>
      <c r="B26" s="4">
        <v>-0.1</v>
      </c>
      <c r="C26">
        <f>10^B26</f>
        <v>0.79432823472428149</v>
      </c>
      <c r="D26" s="5">
        <v>31</v>
      </c>
      <c r="E26" s="5">
        <f t="array" ref="E26:E106">qVSqNFB($D$26:$D$106,E$6,E$7,E$8,E$9,E$10,E$11,E$12,E$13,E$14,E$15,E$16,E$17,E$18,E$19,E$20,E$21,E$22,E$23)</f>
        <v>103.87620352346681</v>
      </c>
      <c r="F26" s="5">
        <f t="array" ref="F26:F106">qVSqNFB($D$26:$D$106,F$6,F$7,F$8,F$9,F$10,F$11,F$12,F$13,F$14,F$15,F$16,F$17,F$18,F$19,F$20,F$21,F$22,F$23)</f>
        <v>103.65154742393385</v>
      </c>
      <c r="G26" s="5">
        <f t="array" ref="G26:G106">qVSqNFB($D$26:$D$106,G$6,G$7,G$8,G$9,G$10,G$11,G$12,G$13,G$14,G$15,G$16,G$17,G$18,G$19,G$20,G$21,G$22,G$23)</f>
        <v>103.65065644070134</v>
      </c>
      <c r="H26" s="5">
        <f t="array" ref="H26:H106">qVSqNFB($D$26:$D$106,H$6,H$7,H$8,H$9,H$10,H$11,H$12,H$13,H$14,H$15,H$16,H$17,H$18,H$19,H$20,H$21,H$22,H$23)</f>
        <v>103.6468683734783</v>
      </c>
      <c r="I26" s="5">
        <f t="array" ref="I26:I106">qVSqNFB($D$26:$D$106,I$6,I$7,I$8,I$9,I$10,I$11,I$12,I$13,I$14,I$15,I$16,I$17,I$18,I$19,I$20,I$21,I$22,I$23)</f>
        <v>103.64888642370417</v>
      </c>
      <c r="J26" s="5">
        <f t="array" ref="J26:J106">qVSqNFB($D$26:$D$106,J$6,J$7,J$8,J$9,J$10,J$11,J$12,J$13,J$14,J$15,J$16,J$17,J$18,J$19,J$20,J$21,J$22,J$23)</f>
        <v>103.64348686195544</v>
      </c>
      <c r="K26" s="5">
        <f t="array" ref="K26:K106">qVSqNFB($D$26:$D$106,K$6,K$7,K$8,K$9,K$10,K$11,K$12,K$13,K$14,K$15,K$16,K$17,K$18,K$19,K$20,K$21,K$22,K$23)</f>
        <v>103.63843059658527</v>
      </c>
    </row>
    <row r="27" spans="1:35">
      <c r="A27" s="3">
        <f t="shared" si="7"/>
        <v>0.16164383561643836</v>
      </c>
      <c r="B27" s="3">
        <f>B26+$B$24</f>
        <v>-4.5000000000000005E-2</v>
      </c>
      <c r="D27" s="5">
        <v>59</v>
      </c>
      <c r="E27" s="5">
        <v>80.13247301891127</v>
      </c>
      <c r="F27" s="5">
        <v>80.097276416660293</v>
      </c>
      <c r="G27" s="5">
        <v>80.093029645050152</v>
      </c>
      <c r="H27" s="5">
        <v>80.079520324630579</v>
      </c>
      <c r="I27" s="5">
        <v>80.087346254498129</v>
      </c>
      <c r="J27" s="5">
        <v>80.067628374703318</v>
      </c>
      <c r="K27" s="5">
        <v>80.048500483577058</v>
      </c>
    </row>
    <row r="28" spans="1:35">
      <c r="A28" s="3">
        <f t="shared" si="7"/>
        <v>0.24657534246575341</v>
      </c>
      <c r="B28" s="3">
        <f t="shared" ref="B28:B91" si="8">B27+$B$24</f>
        <v>9.999999999999995E-3</v>
      </c>
      <c r="D28" s="5">
        <v>90</v>
      </c>
      <c r="E28" s="5">
        <v>59.518467758211479</v>
      </c>
      <c r="F28" s="5">
        <v>61.236334781716558</v>
      </c>
      <c r="G28" s="5">
        <v>61.225784793966781</v>
      </c>
      <c r="H28" s="5">
        <v>61.191625756220809</v>
      </c>
      <c r="I28" s="5">
        <v>61.211372051604023</v>
      </c>
      <c r="J28" s="5">
        <v>61.162370754459843</v>
      </c>
      <c r="K28" s="5">
        <v>61.114849951917925</v>
      </c>
      <c r="Y28" s="5">
        <v>90</v>
      </c>
    </row>
    <row r="29" spans="1:35">
      <c r="A29" s="3">
        <f t="shared" si="7"/>
        <v>0.32876712328767121</v>
      </c>
      <c r="B29" s="3">
        <f t="shared" si="8"/>
        <v>6.5000000000000002E-2</v>
      </c>
      <c r="D29" s="5">
        <v>120</v>
      </c>
      <c r="E29" s="5">
        <v>46.998660920603328</v>
      </c>
      <c r="F29" s="5">
        <v>47.798456595513365</v>
      </c>
      <c r="G29" s="5">
        <v>47.777741018298755</v>
      </c>
      <c r="H29" s="5">
        <v>47.713716633948394</v>
      </c>
      <c r="I29" s="5">
        <v>47.751063337416738</v>
      </c>
      <c r="J29" s="5">
        <v>47.658906075798185</v>
      </c>
      <c r="K29" s="5">
        <v>47.570523733404798</v>
      </c>
      <c r="Y29" s="5">
        <v>120</v>
      </c>
    </row>
    <row r="30" spans="1:35">
      <c r="A30" s="3">
        <f t="shared" si="7"/>
        <v>0.41369863013698632</v>
      </c>
      <c r="B30" s="3">
        <f t="shared" si="8"/>
        <v>0.12</v>
      </c>
      <c r="D30" s="5">
        <v>151</v>
      </c>
      <c r="E30" s="5">
        <v>38.444541415971216</v>
      </c>
      <c r="F30" s="5">
        <v>37.556733741673689</v>
      </c>
      <c r="G30" s="5">
        <v>37.522869787152594</v>
      </c>
      <c r="H30" s="5">
        <v>37.417190094326621</v>
      </c>
      <c r="I30" s="5">
        <v>37.478303649031474</v>
      </c>
      <c r="J30" s="5">
        <v>37.327569517954217</v>
      </c>
      <c r="K30" s="5">
        <v>37.184442757522397</v>
      </c>
      <c r="Y30" s="5">
        <v>151</v>
      </c>
    </row>
    <row r="31" spans="1:35">
      <c r="A31" s="3">
        <f t="shared" si="7"/>
        <v>0.49589041095890413</v>
      </c>
      <c r="B31" s="3">
        <f t="shared" si="8"/>
        <v>0.17499999999999999</v>
      </c>
      <c r="D31" s="5">
        <v>181</v>
      </c>
      <c r="E31" s="5">
        <v>29.903758587856984</v>
      </c>
      <c r="F31" s="5">
        <v>30.246818682796114</v>
      </c>
      <c r="G31" s="5">
        <v>30.197186431973051</v>
      </c>
      <c r="H31" s="5">
        <v>30.042302304264609</v>
      </c>
      <c r="I31" s="5">
        <v>30.131851852231836</v>
      </c>
      <c r="J31" s="5">
        <v>29.912261440012252</v>
      </c>
      <c r="K31" s="5">
        <v>29.706057940586483</v>
      </c>
      <c r="Y31" s="5">
        <v>181</v>
      </c>
    </row>
    <row r="32" spans="1:35">
      <c r="A32" s="3">
        <f t="shared" si="7"/>
        <v>0.58082191780821912</v>
      </c>
      <c r="B32" s="3">
        <f t="shared" si="8"/>
        <v>0.22999999999999998</v>
      </c>
      <c r="D32" s="5">
        <v>212</v>
      </c>
      <c r="E32" s="5">
        <v>24.763878265523314</v>
      </c>
      <c r="F32" s="5">
        <v>24.669655415358704</v>
      </c>
      <c r="G32" s="5">
        <v>24.600619872904069</v>
      </c>
      <c r="H32" s="5">
        <v>24.387750522777736</v>
      </c>
      <c r="I32" s="5">
        <v>24.510704949238189</v>
      </c>
      <c r="J32" s="5">
        <v>24.209963002220352</v>
      </c>
      <c r="K32" s="5">
        <v>23.930463223030397</v>
      </c>
      <c r="Y32" s="5">
        <v>212</v>
      </c>
    </row>
    <row r="33" spans="1:25">
      <c r="A33" s="3">
        <f t="shared" si="7"/>
        <v>0.66575342465753429</v>
      </c>
      <c r="B33" s="3">
        <f t="shared" si="8"/>
        <v>0.28499999999999998</v>
      </c>
      <c r="D33" s="5">
        <v>243</v>
      </c>
      <c r="E33" s="5">
        <v>20.694176365821914</v>
      </c>
      <c r="F33" s="5">
        <v>20.570312187581351</v>
      </c>
      <c r="G33" s="5">
        <v>20.480113850394307</v>
      </c>
      <c r="H33" s="5">
        <v>20.202434858280377</v>
      </c>
      <c r="I33" s="5">
        <v>20.36241855876273</v>
      </c>
      <c r="J33" s="5">
        <v>19.972379892045019</v>
      </c>
      <c r="K33" s="5">
        <v>19.613913805068524</v>
      </c>
      <c r="Y33" s="5">
        <v>243</v>
      </c>
    </row>
    <row r="34" spans="1:25">
      <c r="A34" s="3">
        <f t="shared" si="7"/>
        <v>0.74794520547945209</v>
      </c>
      <c r="B34" s="3">
        <f t="shared" si="8"/>
        <v>0.33999999999999997</v>
      </c>
      <c r="D34" s="5">
        <v>273</v>
      </c>
      <c r="E34" s="5">
        <v>17.792042108567493</v>
      </c>
      <c r="F34" s="5">
        <v>17.637035343082459</v>
      </c>
      <c r="G34" s="5">
        <v>17.524283296684789</v>
      </c>
      <c r="H34" s="5">
        <v>17.179380632110867</v>
      </c>
      <c r="I34" s="5">
        <v>17.377758917387641</v>
      </c>
      <c r="J34" s="5">
        <v>16.895741127631883</v>
      </c>
      <c r="K34" s="5">
        <v>16.457873266365517</v>
      </c>
      <c r="Y34" s="5">
        <v>273</v>
      </c>
    </row>
    <row r="35" spans="1:25">
      <c r="A35" s="3">
        <f t="shared" si="7"/>
        <v>0.83287671232876714</v>
      </c>
      <c r="B35" s="3">
        <f t="shared" si="8"/>
        <v>0.39499999999999996</v>
      </c>
      <c r="D35" s="5">
        <v>304</v>
      </c>
      <c r="E35" s="5">
        <v>15.581624706224639</v>
      </c>
      <c r="F35" s="5">
        <v>15.392099882397979</v>
      </c>
      <c r="G35" s="5">
        <v>15.254874723068678</v>
      </c>
      <c r="H35" s="5">
        <v>14.836902016078403</v>
      </c>
      <c r="I35" s="5">
        <v>15.076883212158336</v>
      </c>
      <c r="J35" s="5">
        <v>14.495912992420184</v>
      </c>
      <c r="K35" s="5">
        <v>13.974749117066077</v>
      </c>
      <c r="Y35" s="5">
        <v>304</v>
      </c>
    </row>
    <row r="36" spans="1:25">
      <c r="A36" s="3">
        <f t="shared" si="7"/>
        <v>0.91506849315068495</v>
      </c>
      <c r="B36" s="3">
        <f t="shared" si="8"/>
        <v>0.44999999999999996</v>
      </c>
      <c r="D36" s="5">
        <v>334</v>
      </c>
      <c r="E36" s="5">
        <v>14.004690291248757</v>
      </c>
      <c r="F36" s="5">
        <v>13.780077723298371</v>
      </c>
      <c r="G36" s="5">
        <v>13.617910143174337</v>
      </c>
      <c r="H36" s="5">
        <v>13.126910767322563</v>
      </c>
      <c r="I36" s="5">
        <v>13.408390340249598</v>
      </c>
      <c r="J36" s="5">
        <v>12.729554954291403</v>
      </c>
      <c r="K36" s="5">
        <v>12.127999848097391</v>
      </c>
      <c r="Y36" s="5">
        <v>334</v>
      </c>
    </row>
    <row r="37" spans="1:25">
      <c r="A37" s="3">
        <f t="shared" si="7"/>
        <v>1</v>
      </c>
      <c r="B37" s="3">
        <f t="shared" si="8"/>
        <v>0.505</v>
      </c>
      <c r="D37" s="5">
        <v>365</v>
      </c>
      <c r="E37" s="5">
        <v>12.804094918153282</v>
      </c>
      <c r="F37" s="5">
        <v>12.541985373401731</v>
      </c>
      <c r="G37" s="5">
        <v>12.353318188040733</v>
      </c>
      <c r="H37" s="5">
        <v>11.785302241635405</v>
      </c>
      <c r="I37" s="5">
        <v>12.110252991042033</v>
      </c>
      <c r="J37" s="5">
        <v>11.329551170660746</v>
      </c>
      <c r="K37" s="5">
        <v>10.646456396600566</v>
      </c>
      <c r="Y37" s="5">
        <v>365</v>
      </c>
    </row>
    <row r="38" spans="1:25">
      <c r="A38" s="3">
        <f t="shared" si="7"/>
        <v>1.0849315068493151</v>
      </c>
      <c r="B38" s="3">
        <f t="shared" si="8"/>
        <v>0.56000000000000005</v>
      </c>
      <c r="D38" s="5">
        <v>396</v>
      </c>
      <c r="E38" s="5">
        <v>11.921873034836537</v>
      </c>
      <c r="F38" s="5">
        <v>11.620985099609525</v>
      </c>
      <c r="G38" s="5">
        <v>11.405250264604549</v>
      </c>
      <c r="H38" s="5">
        <v>10.759602698262002</v>
      </c>
      <c r="I38" s="5">
        <v>11.128184946941277</v>
      </c>
      <c r="J38" s="5">
        <v>10.245820757369268</v>
      </c>
      <c r="K38" s="5">
        <v>9.4836604979710604</v>
      </c>
      <c r="Y38" s="5">
        <v>396</v>
      </c>
    </row>
    <row r="39" spans="1:25">
      <c r="A39" s="3">
        <f t="shared" si="7"/>
        <v>1.1616438356164382</v>
      </c>
      <c r="B39" s="3">
        <f t="shared" si="8"/>
        <v>0.6150000000000001</v>
      </c>
      <c r="D39" s="5">
        <v>424</v>
      </c>
      <c r="E39" s="5">
        <v>11.329211673378762</v>
      </c>
      <c r="F39" s="5">
        <v>10.992744804838834</v>
      </c>
      <c r="G39" s="5">
        <v>10.752230711737234</v>
      </c>
      <c r="H39" s="5">
        <v>10.036255514585408</v>
      </c>
      <c r="I39" s="5">
        <v>10.444226475614425</v>
      </c>
      <c r="J39" s="5">
        <v>9.4710295158104287</v>
      </c>
      <c r="K39" s="5">
        <v>8.6403605108337818</v>
      </c>
      <c r="Y39" s="5">
        <v>424</v>
      </c>
    </row>
    <row r="40" spans="1:25">
      <c r="A40" s="3">
        <f t="shared" si="7"/>
        <v>1.2465753424657535</v>
      </c>
      <c r="B40" s="3">
        <f t="shared" si="8"/>
        <v>0.67000000000000015</v>
      </c>
      <c r="D40" s="5">
        <v>455</v>
      </c>
      <c r="E40" s="5">
        <v>10.841446826736085</v>
      </c>
      <c r="F40" s="5">
        <v>10.464922248832403</v>
      </c>
      <c r="G40" s="5">
        <v>10.196718253579359</v>
      </c>
      <c r="H40" s="5">
        <v>9.4032108529209104</v>
      </c>
      <c r="I40" s="5">
        <v>9.8544041225021051</v>
      </c>
      <c r="J40" s="5">
        <v>8.7823459459459468</v>
      </c>
      <c r="K40" s="5">
        <v>7.8797137278921987</v>
      </c>
      <c r="Y40" s="5">
        <v>455</v>
      </c>
    </row>
    <row r="41" spans="1:25">
      <c r="A41" s="3">
        <f t="shared" si="7"/>
        <v>1.3287671232876712</v>
      </c>
      <c r="B41" s="3">
        <f t="shared" si="8"/>
        <v>0.7250000000000002</v>
      </c>
      <c r="D41" s="5">
        <v>485</v>
      </c>
      <c r="E41" s="5">
        <v>10.491132765331905</v>
      </c>
      <c r="F41" s="5">
        <v>10.075392655539392</v>
      </c>
      <c r="G41" s="5">
        <v>9.7803731365132851</v>
      </c>
      <c r="H41" s="5">
        <v>8.9126705076181008</v>
      </c>
      <c r="I41" s="5">
        <v>9.4051933528826268</v>
      </c>
      <c r="J41" s="5">
        <v>8.2395045965852542</v>
      </c>
      <c r="K41" s="5">
        <v>7.2712052547278168</v>
      </c>
      <c r="Y41" s="5">
        <v>485</v>
      </c>
    </row>
    <row r="42" spans="1:25">
      <c r="A42" s="3">
        <f t="shared" si="7"/>
        <v>1.4136986301369863</v>
      </c>
      <c r="B42" s="3">
        <f t="shared" si="8"/>
        <v>0.78000000000000025</v>
      </c>
      <c r="D42" s="5">
        <v>516</v>
      </c>
      <c r="E42" s="5">
        <v>10.225162085292091</v>
      </c>
      <c r="F42" s="5">
        <v>9.7687021828343941</v>
      </c>
      <c r="G42" s="5">
        <v>9.445896604547892</v>
      </c>
      <c r="H42" s="5">
        <v>8.5024273933083236</v>
      </c>
      <c r="I42" s="5">
        <v>9.0368936288186195</v>
      </c>
      <c r="J42" s="5">
        <v>7.777377093025037</v>
      </c>
      <c r="K42" s="5">
        <v>6.7455237197764344</v>
      </c>
      <c r="Y42" s="5">
        <v>516</v>
      </c>
    </row>
    <row r="43" spans="1:25">
      <c r="A43" s="3">
        <f t="shared" si="7"/>
        <v>1.4958904109589042</v>
      </c>
      <c r="B43" s="3">
        <f t="shared" si="8"/>
        <v>0.8350000000000003</v>
      </c>
      <c r="D43" s="5">
        <v>546</v>
      </c>
      <c r="E43" s="5">
        <v>10.036054839139425</v>
      </c>
      <c r="F43" s="5">
        <v>9.5399532858127252</v>
      </c>
      <c r="G43" s="5">
        <v>9.1903223322869625</v>
      </c>
      <c r="H43" s="5">
        <v>8.1749572378837776</v>
      </c>
      <c r="I43" s="5">
        <v>8.7489095542454631</v>
      </c>
      <c r="J43" s="5">
        <v>7.401522995942118</v>
      </c>
      <c r="K43" s="5">
        <v>6.312652511140036</v>
      </c>
      <c r="Y43" s="5">
        <v>546</v>
      </c>
    </row>
    <row r="44" spans="1:25">
      <c r="A44" s="3">
        <f t="shared" si="7"/>
        <v>1.5808219178082192</v>
      </c>
      <c r="B44" s="3">
        <f t="shared" si="8"/>
        <v>0.89000000000000035</v>
      </c>
      <c r="D44" s="5">
        <v>577</v>
      </c>
      <c r="E44" s="5">
        <v>9.8895987737539244</v>
      </c>
      <c r="F44" s="5">
        <v>9.3524162434729359</v>
      </c>
      <c r="G44" s="5">
        <v>8.9753111002220365</v>
      </c>
      <c r="H44" s="5">
        <v>7.8870120275629736</v>
      </c>
      <c r="I44" s="5">
        <v>8.5008549440318504</v>
      </c>
      <c r="J44" s="5">
        <v>7.0656475502641456</v>
      </c>
      <c r="K44" s="5">
        <v>5.9223569207564504</v>
      </c>
      <c r="Y44" s="5">
        <v>577</v>
      </c>
    </row>
    <row r="45" spans="1:25">
      <c r="A45" s="3">
        <f t="shared" si="7"/>
        <v>1.6657534246575343</v>
      </c>
      <c r="B45" s="3">
        <f t="shared" si="8"/>
        <v>0.9450000000000004</v>
      </c>
      <c r="D45" s="5">
        <v>608</v>
      </c>
      <c r="E45" s="5">
        <v>9.7827781984534123</v>
      </c>
      <c r="F45" s="5">
        <v>9.204456984457547</v>
      </c>
      <c r="G45" s="5">
        <v>8.8000845276778215</v>
      </c>
      <c r="H45" s="5">
        <v>7.6404503033458395</v>
      </c>
      <c r="I45" s="5">
        <v>8.2930471408008586</v>
      </c>
      <c r="J45" s="5">
        <v>6.7734724148227556</v>
      </c>
      <c r="K45" s="5">
        <v>5.5803950651558072</v>
      </c>
      <c r="Y45" s="5">
        <v>608</v>
      </c>
    </row>
    <row r="46" spans="1:25">
      <c r="A46" s="3">
        <f t="shared" si="7"/>
        <v>1.747945205479452</v>
      </c>
      <c r="B46" s="3">
        <f t="shared" si="8"/>
        <v>1.0000000000000004</v>
      </c>
      <c r="D46" s="5">
        <v>638</v>
      </c>
      <c r="E46" s="5">
        <v>9.7078717085981179</v>
      </c>
      <c r="F46" s="5">
        <v>9.0898198621851325</v>
      </c>
      <c r="G46" s="5">
        <v>8.6592485319653942</v>
      </c>
      <c r="H46" s="5">
        <v>7.4323167834009656</v>
      </c>
      <c r="I46" s="5">
        <v>8.1212686737615805</v>
      </c>
      <c r="J46" s="5">
        <v>6.5234678941888067</v>
      </c>
      <c r="K46" s="5">
        <v>5.2864100350662282</v>
      </c>
      <c r="Y46" s="5">
        <v>638</v>
      </c>
    </row>
    <row r="47" spans="1:25">
      <c r="A47" s="3">
        <f t="shared" si="7"/>
        <v>1.832876712328767</v>
      </c>
      <c r="B47" s="3">
        <f t="shared" si="8"/>
        <v>1.0550000000000004</v>
      </c>
      <c r="D47" s="5">
        <v>669</v>
      </c>
      <c r="E47" s="5">
        <v>9.6497489088124961</v>
      </c>
      <c r="F47" s="5">
        <v>8.9907323607687015</v>
      </c>
      <c r="G47" s="5">
        <v>8.5333375810428009</v>
      </c>
      <c r="H47" s="5">
        <v>7.2385009576602108</v>
      </c>
      <c r="I47" s="5">
        <v>7.9640283252430901</v>
      </c>
      <c r="J47" s="5">
        <v>6.2885942356634255</v>
      </c>
      <c r="K47" s="5">
        <v>5.0094880237347832</v>
      </c>
      <c r="Y47" s="5">
        <v>669</v>
      </c>
    </row>
    <row r="48" spans="1:25">
      <c r="A48" s="3">
        <f t="shared" si="7"/>
        <v>1.9150684931506849</v>
      </c>
      <c r="B48" s="3">
        <f t="shared" si="8"/>
        <v>1.1100000000000003</v>
      </c>
      <c r="D48" s="5">
        <v>699</v>
      </c>
      <c r="E48" s="5">
        <v>9.6055135700176102</v>
      </c>
      <c r="F48" s="5">
        <v>8.9069088823214155</v>
      </c>
      <c r="G48" s="5">
        <v>8.4237247327157192</v>
      </c>
      <c r="H48" s="5">
        <v>7.0649828576678662</v>
      </c>
      <c r="I48" s="5">
        <v>7.8246423031927126</v>
      </c>
      <c r="J48" s="5">
        <v>6.0774179003139119</v>
      </c>
      <c r="K48" s="5">
        <v>4.7635228422019757</v>
      </c>
      <c r="Y48" s="5">
        <v>699</v>
      </c>
    </row>
    <row r="49" spans="1:25">
      <c r="A49" s="3">
        <f t="shared" si="7"/>
        <v>2</v>
      </c>
      <c r="B49" s="3">
        <f t="shared" si="8"/>
        <v>1.1650000000000003</v>
      </c>
      <c r="D49" s="5">
        <v>730</v>
      </c>
      <c r="E49" s="5">
        <v>9.5730755785927588</v>
      </c>
      <c r="F49" s="5">
        <v>8.8337090623995103</v>
      </c>
      <c r="G49" s="5">
        <v>8.3243393449199914</v>
      </c>
      <c r="H49" s="5">
        <v>6.9010198502411768</v>
      </c>
      <c r="I49" s="5">
        <v>7.6948511098690773</v>
      </c>
      <c r="J49" s="5">
        <v>5.8768147988668558</v>
      </c>
      <c r="K49" s="5">
        <v>4.5299397335579208</v>
      </c>
      <c r="Y49" s="5">
        <v>730</v>
      </c>
    </row>
    <row r="50" spans="1:25">
      <c r="A50" s="3">
        <f t="shared" si="7"/>
        <v>2.0849315068493151</v>
      </c>
      <c r="B50" s="3">
        <f t="shared" si="8"/>
        <v>1.2200000000000002</v>
      </c>
      <c r="D50" s="5">
        <v>761</v>
      </c>
      <c r="E50" s="5">
        <v>9.5508221583339719</v>
      </c>
      <c r="F50" s="5">
        <v>8.7708515363295323</v>
      </c>
      <c r="G50" s="5">
        <v>8.2355751133910129</v>
      </c>
      <c r="H50" s="5">
        <v>6.7501214332746349</v>
      </c>
      <c r="I50" s="5">
        <v>7.5768043489778734</v>
      </c>
      <c r="J50" s="5">
        <v>5.6914145080774832</v>
      </c>
      <c r="K50" s="5">
        <v>4.3155733161319958</v>
      </c>
      <c r="Y50" s="5">
        <v>761</v>
      </c>
    </row>
    <row r="51" spans="1:25">
      <c r="A51" s="3">
        <f t="shared" si="7"/>
        <v>2.1616438356164385</v>
      </c>
      <c r="B51" s="3">
        <f t="shared" si="8"/>
        <v>1.2750000000000001</v>
      </c>
      <c r="D51" s="5">
        <v>789</v>
      </c>
      <c r="E51" s="5">
        <v>9.53477400780951</v>
      </c>
      <c r="F51" s="5">
        <v>8.7171634642064166</v>
      </c>
      <c r="G51" s="5">
        <v>8.1587447403721001</v>
      </c>
      <c r="H51" s="5">
        <v>6.6185441045861735</v>
      </c>
      <c r="I51" s="5">
        <v>7.4739017024730119</v>
      </c>
      <c r="J51" s="5">
        <v>5.5304781609371414</v>
      </c>
      <c r="K51" s="5">
        <v>4.1314791772452342</v>
      </c>
      <c r="Y51" s="5">
        <v>789</v>
      </c>
    </row>
    <row r="52" spans="1:25">
      <c r="A52" s="3">
        <f t="shared" si="7"/>
        <v>2.2465753424657535</v>
      </c>
      <c r="B52" s="3">
        <f t="shared" si="8"/>
        <v>1.33</v>
      </c>
      <c r="D52" s="5">
        <v>820</v>
      </c>
      <c r="E52" s="5">
        <v>9.5178640209784859</v>
      </c>
      <c r="F52" s="5">
        <v>8.6609869117219223</v>
      </c>
      <c r="G52" s="5">
        <v>8.0772298360003063</v>
      </c>
      <c r="H52" s="5">
        <v>6.478671144935304</v>
      </c>
      <c r="I52" s="5">
        <v>7.3640942154505789</v>
      </c>
      <c r="J52" s="5">
        <v>5.3600923071740301</v>
      </c>
      <c r="K52" s="5">
        <v>3.9388125818850019</v>
      </c>
      <c r="Y52" s="5">
        <v>820</v>
      </c>
    </row>
    <row r="53" spans="1:25">
      <c r="A53" s="3">
        <f t="shared" si="7"/>
        <v>2.3287671232876712</v>
      </c>
      <c r="B53" s="3">
        <f t="shared" si="8"/>
        <v>1.385</v>
      </c>
      <c r="D53" s="5">
        <v>850</v>
      </c>
      <c r="E53" s="5">
        <v>9.5073387461909515</v>
      </c>
      <c r="F53" s="5">
        <v>8.6115535038664728</v>
      </c>
      <c r="G53" s="5">
        <v>8.0036221447056128</v>
      </c>
      <c r="H53" s="5">
        <v>6.3492212147615037</v>
      </c>
      <c r="I53" s="5">
        <v>7.2637395531735711</v>
      </c>
      <c r="J53" s="5">
        <v>5.2030609948702251</v>
      </c>
      <c r="K53" s="5">
        <v>3.7632688003981318</v>
      </c>
      <c r="Y53" s="5">
        <v>850</v>
      </c>
    </row>
    <row r="54" spans="1:25">
      <c r="A54" s="3">
        <f t="shared" si="7"/>
        <v>2.4136986301369863</v>
      </c>
      <c r="B54" s="3">
        <f t="shared" si="8"/>
        <v>1.44</v>
      </c>
      <c r="D54" s="5">
        <v>881</v>
      </c>
      <c r="E54" s="5">
        <v>9.5008816207028559</v>
      </c>
      <c r="F54" s="5">
        <v>8.5651008956435195</v>
      </c>
      <c r="G54" s="5">
        <v>7.9326152533496677</v>
      </c>
      <c r="H54" s="5">
        <v>6.2228992870377464</v>
      </c>
      <c r="I54" s="5">
        <v>7.1658076987979484</v>
      </c>
      <c r="J54" s="5">
        <v>5.0501626553862646</v>
      </c>
      <c r="K54" s="5">
        <v>3.5945405985759136</v>
      </c>
      <c r="Y54" s="5">
        <v>881</v>
      </c>
    </row>
    <row r="55" spans="1:25">
      <c r="A55" s="3">
        <f t="shared" si="7"/>
        <v>2.495890410958904</v>
      </c>
      <c r="B55" s="3">
        <f t="shared" si="8"/>
        <v>1.4949999999999999</v>
      </c>
      <c r="D55" s="5">
        <v>911</v>
      </c>
      <c r="E55" s="5">
        <v>9.494781904754614</v>
      </c>
      <c r="F55" s="5">
        <v>8.5205782358165543</v>
      </c>
      <c r="G55" s="5">
        <v>7.8645278340096469</v>
      </c>
      <c r="H55" s="5">
        <v>6.1016653822831328</v>
      </c>
      <c r="I55" s="5">
        <v>7.0721748423551034</v>
      </c>
      <c r="J55" s="5">
        <v>4.9049753375698648</v>
      </c>
      <c r="K55" s="5">
        <v>3.4367210881249526</v>
      </c>
      <c r="Y55" s="5">
        <v>911</v>
      </c>
    </row>
    <row r="56" spans="1:25">
      <c r="A56" s="3">
        <f t="shared" si="7"/>
        <v>2.580821917808219</v>
      </c>
      <c r="B56" s="3">
        <f t="shared" si="8"/>
        <v>1.5499999999999998</v>
      </c>
      <c r="D56" s="5">
        <v>942</v>
      </c>
      <c r="E56" s="5">
        <v>9.4883524855677219</v>
      </c>
      <c r="F56" s="5">
        <v>8.4741264632110873</v>
      </c>
      <c r="G56" s="5">
        <v>7.7940893789143262</v>
      </c>
      <c r="H56" s="5">
        <v>5.9810960208253583</v>
      </c>
      <c r="I56" s="5">
        <v>6.9759374263838918</v>
      </c>
      <c r="J56" s="5">
        <v>4.7600714442998244</v>
      </c>
      <c r="K56" s="5">
        <v>3.2814205679503869</v>
      </c>
      <c r="Y56" s="5">
        <v>942</v>
      </c>
    </row>
    <row r="57" spans="1:25">
      <c r="A57" s="3">
        <f t="shared" si="7"/>
        <v>2.6657534246575341</v>
      </c>
      <c r="B57" s="3">
        <f t="shared" si="8"/>
        <v>1.6049999999999998</v>
      </c>
      <c r="D57" s="5">
        <v>973</v>
      </c>
      <c r="E57" s="5">
        <v>9.4821583531123199</v>
      </c>
      <c r="F57" s="5">
        <v>8.4288296678661681</v>
      </c>
      <c r="G57" s="5">
        <v>7.7251410259551339</v>
      </c>
      <c r="H57" s="5">
        <v>5.8612084180384354</v>
      </c>
      <c r="I57" s="5">
        <v>6.8819458704540244</v>
      </c>
      <c r="J57" s="5">
        <v>4.6203116958885229</v>
      </c>
      <c r="K57" s="5">
        <v>3.1338772902534267</v>
      </c>
      <c r="Y57" s="5">
        <v>973</v>
      </c>
    </row>
    <row r="58" spans="1:25">
      <c r="A58" s="3">
        <f t="shared" si="7"/>
        <v>2.7479452054794522</v>
      </c>
      <c r="B58" s="3">
        <f t="shared" si="8"/>
        <v>1.6599999999999997</v>
      </c>
      <c r="D58" s="5">
        <v>1003</v>
      </c>
      <c r="E58" s="5">
        <v>9.4778004512671323</v>
      </c>
      <c r="F58" s="5">
        <v>8.3864949072812198</v>
      </c>
      <c r="G58" s="5">
        <v>7.660285946864712</v>
      </c>
      <c r="H58" s="5">
        <v>5.7509523261618565</v>
      </c>
      <c r="I58" s="5">
        <v>6.793320824592298</v>
      </c>
      <c r="J58" s="5">
        <v>4.4911781229614887</v>
      </c>
      <c r="K58" s="5">
        <v>2.9997133000535947</v>
      </c>
      <c r="Y58" s="5">
        <v>1003</v>
      </c>
    </row>
    <row r="59" spans="1:25">
      <c r="A59" s="3">
        <f t="shared" si="7"/>
        <v>2.8328767123287673</v>
      </c>
      <c r="B59" s="3">
        <f t="shared" si="8"/>
        <v>1.7149999999999996</v>
      </c>
      <c r="D59" s="5">
        <v>1034</v>
      </c>
      <c r="E59" s="5">
        <v>9.4770126518643298</v>
      </c>
      <c r="F59" s="5">
        <v>8.346764833473701</v>
      </c>
      <c r="G59" s="5">
        <v>7.5976426264451433</v>
      </c>
      <c r="H59" s="5">
        <v>5.6397417294234744</v>
      </c>
      <c r="I59" s="5">
        <v>6.7067746471173733</v>
      </c>
      <c r="J59" s="5">
        <v>4.3620213406324178</v>
      </c>
      <c r="K59" s="5">
        <v>2.867442360615573</v>
      </c>
      <c r="Y59" s="5">
        <v>1034</v>
      </c>
    </row>
    <row r="60" spans="1:25">
      <c r="A60" s="3">
        <f t="shared" si="7"/>
        <v>2.9150684931506849</v>
      </c>
      <c r="B60" s="3">
        <f t="shared" si="8"/>
        <v>1.7699999999999996</v>
      </c>
      <c r="D60" s="5">
        <v>1064</v>
      </c>
      <c r="E60" s="5">
        <v>9.4731008985529446</v>
      </c>
      <c r="F60" s="5">
        <v>8.3052613289947175</v>
      </c>
      <c r="G60" s="5">
        <v>7.5341961370492321</v>
      </c>
      <c r="H60" s="5">
        <v>5.5322683356557691</v>
      </c>
      <c r="I60" s="5">
        <v>6.6207274237807221</v>
      </c>
      <c r="J60" s="5">
        <v>4.2387068618023127</v>
      </c>
      <c r="K60" s="5">
        <v>2.7437118444223261</v>
      </c>
      <c r="Y60" s="5">
        <v>1064</v>
      </c>
    </row>
    <row r="61" spans="1:25">
      <c r="A61" s="3">
        <f t="shared" si="7"/>
        <v>3</v>
      </c>
      <c r="B61" s="3">
        <f t="shared" si="8"/>
        <v>1.8249999999999995</v>
      </c>
      <c r="D61" s="5">
        <v>1095</v>
      </c>
      <c r="E61" s="5">
        <v>9.4712829766480375</v>
      </c>
      <c r="F61" s="5">
        <v>8.2645044030319283</v>
      </c>
      <c r="G61" s="5">
        <v>7.4710896938978646</v>
      </c>
      <c r="H61" s="5">
        <v>5.4237542926269047</v>
      </c>
      <c r="I61" s="5">
        <v>6.5333528944184982</v>
      </c>
      <c r="J61" s="5">
        <v>4.1151541474619098</v>
      </c>
      <c r="K61" s="5">
        <v>2.6198511795421484</v>
      </c>
      <c r="Y61" s="5">
        <v>1095</v>
      </c>
    </row>
    <row r="62" spans="1:25">
      <c r="A62" s="3">
        <f t="shared" si="7"/>
        <v>3.0849315068493151</v>
      </c>
      <c r="B62" s="3">
        <f t="shared" si="8"/>
        <v>1.8799999999999994</v>
      </c>
      <c r="D62" s="5">
        <v>1126</v>
      </c>
      <c r="E62" s="5">
        <v>9.4661838899012345</v>
      </c>
      <c r="F62" s="5">
        <v>8.2211262134599181</v>
      </c>
      <c r="G62" s="5">
        <v>7.4057216504096175</v>
      </c>
      <c r="H62" s="5">
        <v>5.3175200676824135</v>
      </c>
      <c r="I62" s="5">
        <v>6.4473084788301058</v>
      </c>
      <c r="J62" s="5">
        <v>3.9953439612587096</v>
      </c>
      <c r="K62" s="5">
        <v>2.5031229086593676</v>
      </c>
      <c r="Y62" s="5">
        <v>1126</v>
      </c>
    </row>
    <row r="63" spans="1:25">
      <c r="A63" s="3">
        <f t="shared" si="7"/>
        <v>3.1643835616438358</v>
      </c>
      <c r="B63" s="3">
        <f t="shared" si="8"/>
        <v>1.9349999999999994</v>
      </c>
      <c r="D63" s="5">
        <v>1155</v>
      </c>
      <c r="E63" s="5">
        <v>9.4633505994946798</v>
      </c>
      <c r="F63" s="5">
        <v>8.1825506524768414</v>
      </c>
      <c r="G63" s="5">
        <v>7.3467956485720842</v>
      </c>
      <c r="H63" s="5">
        <v>5.2220821525151218</v>
      </c>
      <c r="I63" s="5">
        <v>6.3699128406706995</v>
      </c>
      <c r="J63" s="5">
        <v>3.8886048676211624</v>
      </c>
      <c r="K63" s="5">
        <v>2.4005537833244013</v>
      </c>
      <c r="Y63" s="5">
        <v>1155</v>
      </c>
    </row>
    <row r="64" spans="1:25">
      <c r="A64" s="3">
        <f t="shared" si="7"/>
        <v>3.2493150684931509</v>
      </c>
      <c r="B64" s="3">
        <f t="shared" si="8"/>
        <v>1.9899999999999993</v>
      </c>
      <c r="D64" s="5">
        <v>1186</v>
      </c>
      <c r="E64" s="5">
        <v>9.4626805725442171</v>
      </c>
      <c r="F64" s="5">
        <v>8.1438460145471261</v>
      </c>
      <c r="G64" s="5">
        <v>7.2867518128780349</v>
      </c>
      <c r="H64" s="5">
        <v>5.1220047406783555</v>
      </c>
      <c r="I64" s="5">
        <v>6.2881777853150602</v>
      </c>
      <c r="J64" s="5">
        <v>3.7776799601868163</v>
      </c>
      <c r="K64" s="5">
        <v>2.2942283313681955</v>
      </c>
      <c r="Y64" s="5">
        <v>1186</v>
      </c>
    </row>
    <row r="65" spans="1:25">
      <c r="A65" s="3">
        <f t="shared" si="7"/>
        <v>3.3315068493150686</v>
      </c>
      <c r="B65" s="3">
        <f t="shared" si="8"/>
        <v>2.0449999999999995</v>
      </c>
      <c r="D65" s="5">
        <v>1216</v>
      </c>
      <c r="E65" s="5">
        <v>9.4604182812954605</v>
      </c>
      <c r="F65" s="5">
        <v>8.1049130913406326</v>
      </c>
      <c r="G65" s="5">
        <v>7.2274937419799414</v>
      </c>
      <c r="H65" s="5">
        <v>5.0247779568180082</v>
      </c>
      <c r="I65" s="5">
        <v>6.2079775589924209</v>
      </c>
      <c r="J65" s="5">
        <v>3.6714471023658222</v>
      </c>
      <c r="K65" s="5">
        <v>2.1964052133833554</v>
      </c>
      <c r="Y65" s="5">
        <v>1216</v>
      </c>
    </row>
    <row r="66" spans="1:25">
      <c r="A66" s="3">
        <f t="shared" si="7"/>
        <v>3.4164383561643836</v>
      </c>
      <c r="B66" s="3">
        <f t="shared" si="8"/>
        <v>2.0999999999999996</v>
      </c>
      <c r="D66" s="5">
        <v>1247</v>
      </c>
      <c r="E66" s="5">
        <v>9.4588848717556093</v>
      </c>
      <c r="F66" s="5">
        <v>8.0656908097389177</v>
      </c>
      <c r="G66" s="5">
        <v>7.1674566808054516</v>
      </c>
      <c r="H66" s="5">
        <v>4.9280706137355494</v>
      </c>
      <c r="I66" s="5">
        <v>6.1279375424546361</v>
      </c>
      <c r="J66" s="5">
        <v>3.5658420312380374</v>
      </c>
      <c r="K66" s="5">
        <v>2.0976854066304265</v>
      </c>
      <c r="Y66" s="5">
        <v>1247</v>
      </c>
    </row>
    <row r="67" spans="1:25">
      <c r="A67" s="3">
        <f t="shared" si="7"/>
        <v>3.4986301369863013</v>
      </c>
      <c r="B67" s="3">
        <f t="shared" si="8"/>
        <v>2.1549999999999998</v>
      </c>
      <c r="D67" s="5">
        <v>1277</v>
      </c>
      <c r="E67" s="5">
        <v>9.4551996479595743</v>
      </c>
      <c r="F67" s="5">
        <v>8.0256550772528907</v>
      </c>
      <c r="G67" s="5">
        <v>7.1075958118061413</v>
      </c>
      <c r="H67" s="5">
        <v>4.8334320532884156</v>
      </c>
      <c r="I67" s="5">
        <v>6.0487737799555941</v>
      </c>
      <c r="J67" s="5">
        <v>3.4639992803001305</v>
      </c>
      <c r="K67" s="5">
        <v>2.0070027893729425</v>
      </c>
      <c r="Y67" s="5">
        <v>1277</v>
      </c>
    </row>
    <row r="68" spans="1:25">
      <c r="A68" s="3">
        <f t="shared" si="7"/>
        <v>3.5835616438356164</v>
      </c>
      <c r="B68" s="3">
        <f t="shared" si="8"/>
        <v>2.21</v>
      </c>
      <c r="D68" s="5">
        <v>1308</v>
      </c>
      <c r="E68" s="5">
        <v>9.4522043469872141</v>
      </c>
      <c r="F68" s="5">
        <v>7.9853424200290952</v>
      </c>
      <c r="G68" s="5">
        <v>7.0471190182987522</v>
      </c>
      <c r="H68" s="5">
        <v>4.7393598678508546</v>
      </c>
      <c r="I68" s="5">
        <v>5.9697499735089199</v>
      </c>
      <c r="J68" s="5">
        <v>3.3654590931781643</v>
      </c>
      <c r="K68" s="5">
        <v>1.9196425877038512</v>
      </c>
      <c r="Y68" s="5">
        <v>1308</v>
      </c>
    </row>
    <row r="69" spans="1:25">
      <c r="A69" s="3">
        <f t="shared" si="7"/>
        <v>3.6684931506849314</v>
      </c>
      <c r="B69" s="3">
        <f t="shared" si="8"/>
        <v>2.2650000000000001</v>
      </c>
      <c r="D69" s="5">
        <v>1339</v>
      </c>
      <c r="E69" s="5">
        <v>9.4515983874129095</v>
      </c>
      <c r="F69" s="5">
        <v>7.9476333378761206</v>
      </c>
      <c r="G69" s="5">
        <v>6.9896140692136903</v>
      </c>
      <c r="H69" s="5">
        <v>4.6493456076870077</v>
      </c>
      <c r="I69" s="5">
        <v>5.8939157575989594</v>
      </c>
      <c r="J69" s="5">
        <v>3.2686175280606387</v>
      </c>
      <c r="K69" s="5">
        <v>1.8330488640992268</v>
      </c>
      <c r="Y69" s="5">
        <v>1339</v>
      </c>
    </row>
    <row r="70" spans="1:25">
      <c r="A70" s="3">
        <f t="shared" si="7"/>
        <v>3.7506849315068491</v>
      </c>
      <c r="B70" s="3">
        <f t="shared" si="8"/>
        <v>2.3200000000000003</v>
      </c>
      <c r="D70" s="5">
        <v>1369</v>
      </c>
      <c r="E70" s="5">
        <v>9.4496384757675536</v>
      </c>
      <c r="F70" s="5">
        <v>7.9086185264527993</v>
      </c>
      <c r="G70" s="5">
        <v>6.9327733413980557</v>
      </c>
      <c r="H70" s="5">
        <v>4.5617702273945335</v>
      </c>
      <c r="I70" s="5">
        <v>5.8198141506775904</v>
      </c>
      <c r="J70" s="5">
        <v>3.1776591023658223</v>
      </c>
      <c r="K70" s="5">
        <v>1.7563845148150985</v>
      </c>
      <c r="Y70" s="5">
        <v>1369</v>
      </c>
    </row>
    <row r="71" spans="1:25">
      <c r="A71" s="3">
        <f t="shared" si="7"/>
        <v>3.8356164383561642</v>
      </c>
      <c r="B71" s="3">
        <f t="shared" si="8"/>
        <v>2.3750000000000004</v>
      </c>
      <c r="D71" s="5">
        <v>1400</v>
      </c>
      <c r="E71" s="5">
        <v>9.4482825621315367</v>
      </c>
      <c r="F71" s="5">
        <v>7.8715639422708836</v>
      </c>
      <c r="G71" s="5">
        <v>6.8753833230227404</v>
      </c>
      <c r="H71" s="5">
        <v>4.4743415106040887</v>
      </c>
      <c r="I71" s="5">
        <v>5.7449098842355104</v>
      </c>
      <c r="J71" s="5">
        <v>3.0863075312763191</v>
      </c>
      <c r="K71" s="5">
        <v>1.6789222702702704</v>
      </c>
      <c r="Y71" s="5">
        <v>1400</v>
      </c>
    </row>
    <row r="72" spans="1:25">
      <c r="A72" s="3">
        <f t="shared" si="7"/>
        <v>3.9178082191780823</v>
      </c>
      <c r="B72" s="3">
        <f t="shared" si="8"/>
        <v>2.4300000000000006</v>
      </c>
      <c r="D72" s="5">
        <v>1430</v>
      </c>
      <c r="E72" s="5">
        <v>9.446240598729041</v>
      </c>
      <c r="F72" s="5">
        <v>7.8344743710282518</v>
      </c>
      <c r="G72" s="5">
        <v>6.81987666151137</v>
      </c>
      <c r="H72" s="5">
        <v>4.3908093479825441</v>
      </c>
      <c r="I72" s="5">
        <v>5.6729949109562829</v>
      </c>
      <c r="J72" s="5">
        <v>2.9986717995559302</v>
      </c>
      <c r="K72" s="5">
        <v>1.6052962877268204</v>
      </c>
      <c r="Y72" s="5">
        <v>1430</v>
      </c>
    </row>
    <row r="73" spans="1:25">
      <c r="A73" s="3">
        <f t="shared" si="7"/>
        <v>4.0027397260273974</v>
      </c>
      <c r="B73" s="3">
        <f t="shared" si="8"/>
        <v>2.4850000000000008</v>
      </c>
      <c r="D73" s="5">
        <v>1461</v>
      </c>
      <c r="E73" s="5">
        <v>9.4426138846948948</v>
      </c>
      <c r="F73" s="5">
        <v>7.7942966924431518</v>
      </c>
      <c r="G73" s="5">
        <v>6.7610511133910114</v>
      </c>
      <c r="H73" s="5">
        <v>4.3039274714034148</v>
      </c>
      <c r="I73" s="5">
        <v>5.5976011734170434</v>
      </c>
      <c r="J73" s="5">
        <v>2.9115360280223568</v>
      </c>
      <c r="K73" s="5">
        <v>1.5334796081463902</v>
      </c>
      <c r="Y73" s="5">
        <v>1461</v>
      </c>
    </row>
    <row r="74" spans="1:25">
      <c r="A74" s="3">
        <f t="shared" si="7"/>
        <v>4.087671232876712</v>
      </c>
      <c r="B74" s="3">
        <f t="shared" si="8"/>
        <v>2.5400000000000009</v>
      </c>
      <c r="D74" s="5">
        <v>1492</v>
      </c>
      <c r="E74" s="5">
        <v>9.4398157072199673</v>
      </c>
      <c r="F74" s="5">
        <v>7.7553013786080713</v>
      </c>
      <c r="G74" s="5">
        <v>6.7036337392236431</v>
      </c>
      <c r="H74" s="5">
        <v>4.2217590199831561</v>
      </c>
      <c r="I74" s="5">
        <v>5.5241781545057815</v>
      </c>
      <c r="J74" s="5">
        <v>2.8293614171962331</v>
      </c>
      <c r="K74" s="5">
        <v>1.4671901312303806</v>
      </c>
      <c r="Y74" s="5">
        <v>1492</v>
      </c>
    </row>
    <row r="75" spans="1:25">
      <c r="A75" s="3">
        <f t="shared" si="7"/>
        <v>4.1643835616438354</v>
      </c>
      <c r="B75" s="3">
        <f t="shared" si="8"/>
        <v>2.5950000000000011</v>
      </c>
      <c r="D75" s="5">
        <v>1520</v>
      </c>
      <c r="E75" s="5">
        <v>9.4396864125258411</v>
      </c>
      <c r="F75" s="5">
        <v>7.7227126076104442</v>
      </c>
      <c r="G75" s="5">
        <v>6.6548001044330451</v>
      </c>
      <c r="H75" s="5">
        <v>4.147994851849016</v>
      </c>
      <c r="I75" s="5">
        <v>5.4613988870683716</v>
      </c>
      <c r="J75" s="5">
        <v>2.7540236288186204</v>
      </c>
      <c r="K75" s="5">
        <v>1.4076163521935534</v>
      </c>
      <c r="Y75" s="5">
        <v>1520</v>
      </c>
    </row>
    <row r="76" spans="1:25">
      <c r="A76" s="3">
        <f t="shared" si="7"/>
        <v>4.2493150684931509</v>
      </c>
      <c r="B76" s="3">
        <f t="shared" si="8"/>
        <v>2.6500000000000012</v>
      </c>
      <c r="D76" s="5">
        <v>1551</v>
      </c>
      <c r="E76" s="5">
        <v>9.4378519238955683</v>
      </c>
      <c r="F76" s="5">
        <v>7.6835965739223644</v>
      </c>
      <c r="G76" s="5">
        <v>6.5974580024500424</v>
      </c>
      <c r="H76" s="5">
        <v>4.066643869535258</v>
      </c>
      <c r="I76" s="5">
        <v>5.3895595741520559</v>
      </c>
      <c r="J76" s="5">
        <v>2.6764435782865021</v>
      </c>
      <c r="K76" s="5">
        <v>1.3464898943419341</v>
      </c>
      <c r="Y76" s="5">
        <v>1551</v>
      </c>
    </row>
    <row r="77" spans="1:25">
      <c r="A77" s="3">
        <f t="shared" si="7"/>
        <v>4.3315068493150681</v>
      </c>
      <c r="B77" s="3">
        <f t="shared" si="8"/>
        <v>2.7050000000000014</v>
      </c>
      <c r="D77" s="5">
        <v>1581</v>
      </c>
      <c r="E77" s="5">
        <v>9.4360788855370963</v>
      </c>
      <c r="F77" s="5">
        <v>7.6489038696883869</v>
      </c>
      <c r="G77" s="5">
        <v>6.5460400260316982</v>
      </c>
      <c r="H77" s="5">
        <v>3.9919129549039125</v>
      </c>
      <c r="I77" s="5">
        <v>5.323326088201517</v>
      </c>
      <c r="J77" s="5">
        <v>2.6021252997473394</v>
      </c>
      <c r="K77" s="5">
        <v>1.2891624678049154</v>
      </c>
      <c r="Y77" s="5">
        <v>1581</v>
      </c>
    </row>
    <row r="78" spans="1:25">
      <c r="A78" s="3">
        <f t="shared" si="7"/>
        <v>4.4164383561643836</v>
      </c>
      <c r="B78" s="3">
        <f t="shared" si="8"/>
        <v>2.7600000000000016</v>
      </c>
      <c r="D78" s="5">
        <v>1612</v>
      </c>
      <c r="E78" s="5">
        <v>9.4344893311385043</v>
      </c>
      <c r="F78" s="5">
        <v>7.6116522226475762</v>
      </c>
      <c r="G78" s="5">
        <v>6.4915228348518497</v>
      </c>
      <c r="H78" s="5">
        <v>3.9149620421100986</v>
      </c>
      <c r="I78" s="5">
        <v>5.2545435421483813</v>
      </c>
      <c r="J78" s="5">
        <v>2.527480328765026</v>
      </c>
      <c r="K78" s="5">
        <v>1.2305281538932702</v>
      </c>
      <c r="Y78" s="5">
        <v>1612</v>
      </c>
    </row>
    <row r="79" spans="1:25">
      <c r="A79" s="3">
        <f t="shared" si="7"/>
        <v>4.4986301369863018</v>
      </c>
      <c r="B79" s="3">
        <f t="shared" si="8"/>
        <v>2.8150000000000017</v>
      </c>
      <c r="D79" s="5">
        <v>1642</v>
      </c>
      <c r="E79" s="5">
        <v>9.4328390077329463</v>
      </c>
      <c r="F79" s="5">
        <v>7.5740708149452578</v>
      </c>
      <c r="G79" s="5">
        <v>6.4373705356404569</v>
      </c>
      <c r="H79" s="5">
        <v>3.8398810827654857</v>
      </c>
      <c r="I79" s="5">
        <v>5.1869469637853154</v>
      </c>
      <c r="J79" s="5">
        <v>2.4551832040425694</v>
      </c>
      <c r="K79" s="5">
        <v>1.1775658190031391</v>
      </c>
      <c r="Y79" s="5">
        <v>1642</v>
      </c>
    </row>
    <row r="80" spans="1:25">
      <c r="A80" s="3">
        <f t="shared" si="7"/>
        <v>4.5835616438356164</v>
      </c>
      <c r="B80" s="3">
        <f t="shared" si="8"/>
        <v>2.8700000000000019</v>
      </c>
      <c r="D80" s="5">
        <v>1673</v>
      </c>
      <c r="E80" s="5">
        <v>9.429040305336498</v>
      </c>
      <c r="F80" s="5">
        <v>7.5368533556389252</v>
      </c>
      <c r="G80" s="5">
        <v>6.3833746466579901</v>
      </c>
      <c r="H80" s="5">
        <v>3.7649799865247688</v>
      </c>
      <c r="I80" s="5">
        <v>5.1196233452262465</v>
      </c>
      <c r="J80" s="5">
        <v>2.3857349887451194</v>
      </c>
      <c r="K80" s="5">
        <v>1.1251908653242479</v>
      </c>
      <c r="Y80" s="5">
        <v>1673</v>
      </c>
    </row>
    <row r="81" spans="1:25">
      <c r="A81" s="3">
        <f t="shared" si="7"/>
        <v>4.6684931506849319</v>
      </c>
      <c r="B81" s="3">
        <f t="shared" si="8"/>
        <v>2.925000000000002</v>
      </c>
      <c r="D81" s="5">
        <v>1704</v>
      </c>
      <c r="E81" s="5">
        <v>9.4263356825664193</v>
      </c>
      <c r="F81" s="5">
        <v>7.5012136804226328</v>
      </c>
      <c r="G81" s="5">
        <v>6.3313320294005058</v>
      </c>
      <c r="H81" s="5">
        <v>3.6938277321797721</v>
      </c>
      <c r="I81" s="5">
        <v>5.0546185293622239</v>
      </c>
      <c r="J81" s="5">
        <v>2.3161123149835392</v>
      </c>
      <c r="K81" s="5">
        <v>1.0760220445601409</v>
      </c>
      <c r="Y81" s="5">
        <v>1704</v>
      </c>
    </row>
    <row r="82" spans="1:25">
      <c r="A82" s="3">
        <f t="shared" si="7"/>
        <v>4.7506849315068491</v>
      </c>
      <c r="B82" s="3">
        <f t="shared" si="8"/>
        <v>2.9800000000000022</v>
      </c>
      <c r="D82" s="5">
        <v>1734</v>
      </c>
      <c r="E82" s="5">
        <v>9.4265288016231548</v>
      </c>
      <c r="F82" s="5">
        <v>7.4658361731873519</v>
      </c>
      <c r="G82" s="5">
        <v>6.2785241032080243</v>
      </c>
      <c r="H82" s="5">
        <v>3.6239319883623002</v>
      </c>
      <c r="I82" s="5">
        <v>4.9902804742362763</v>
      </c>
      <c r="J82" s="5">
        <v>2.2514361586402267</v>
      </c>
      <c r="K82" s="5">
        <v>1.0309951224255418</v>
      </c>
      <c r="Y82" s="5">
        <v>1734</v>
      </c>
    </row>
    <row r="83" spans="1:25">
      <c r="A83" s="3">
        <f t="shared" si="7"/>
        <v>4.8356164383561646</v>
      </c>
      <c r="B83" s="3">
        <f t="shared" si="8"/>
        <v>3.0350000000000024</v>
      </c>
      <c r="D83" s="5">
        <v>1765</v>
      </c>
      <c r="E83" s="5">
        <v>9.4229134692596297</v>
      </c>
      <c r="F83" s="5">
        <v>7.4282671550417287</v>
      </c>
      <c r="G83" s="5">
        <v>6.2266200537477996</v>
      </c>
      <c r="H83" s="5">
        <v>3.5550031417196237</v>
      </c>
      <c r="I83" s="5">
        <v>4.9255335972743284</v>
      </c>
      <c r="J83" s="5">
        <v>2.1878500365975042</v>
      </c>
      <c r="K83" s="5">
        <v>0.98568207365439098</v>
      </c>
      <c r="Y83" s="5">
        <v>1765</v>
      </c>
    </row>
    <row r="84" spans="1:25">
      <c r="A84" s="3">
        <f t="shared" si="7"/>
        <v>4.9178082191780819</v>
      </c>
      <c r="B84" s="3">
        <f t="shared" si="8"/>
        <v>3.0900000000000025</v>
      </c>
      <c r="D84" s="5">
        <v>1795</v>
      </c>
      <c r="E84" s="5">
        <v>9.4229621385805071</v>
      </c>
      <c r="F84" s="5">
        <v>7.3943634560906526</v>
      </c>
      <c r="G84" s="5">
        <v>6.177539534185744</v>
      </c>
      <c r="H84" s="5">
        <v>3.4887893467575224</v>
      </c>
      <c r="I84" s="5">
        <v>4.8650999664650483</v>
      </c>
      <c r="J84" s="5">
        <v>2.1273116876196312</v>
      </c>
      <c r="K84" s="5">
        <v>0.94386568026950468</v>
      </c>
      <c r="Y84" s="5">
        <v>1795</v>
      </c>
    </row>
    <row r="85" spans="1:25">
      <c r="A85" s="3">
        <f t="shared" si="7"/>
        <v>5.0027397260273974</v>
      </c>
      <c r="B85" s="3">
        <f t="shared" si="8"/>
        <v>3.1450000000000027</v>
      </c>
      <c r="D85" s="5">
        <v>1826</v>
      </c>
      <c r="E85" s="5">
        <v>9.4214061214302127</v>
      </c>
      <c r="F85" s="5">
        <v>7.3585672250210559</v>
      </c>
      <c r="G85" s="5">
        <v>6.1262839105734637</v>
      </c>
      <c r="H85" s="5">
        <v>3.4216884356481132</v>
      </c>
      <c r="I85" s="5">
        <v>4.802485474619095</v>
      </c>
      <c r="J85" s="5">
        <v>2.0644067068371488</v>
      </c>
      <c r="K85" s="5">
        <v>0.89991430487711521</v>
      </c>
      <c r="Y85" s="5">
        <v>1826</v>
      </c>
    </row>
    <row r="86" spans="1:25">
      <c r="A86" s="3">
        <f t="shared" si="7"/>
        <v>5.087671232876712</v>
      </c>
      <c r="B86" s="3">
        <f t="shared" si="8"/>
        <v>3.2000000000000028</v>
      </c>
      <c r="D86" s="5">
        <v>1857</v>
      </c>
      <c r="E86" s="5">
        <v>9.4197872887221514</v>
      </c>
      <c r="F86" s="5">
        <v>7.3209821064237053</v>
      </c>
      <c r="G86" s="5">
        <v>6.0734163785315065</v>
      </c>
      <c r="H86" s="5">
        <v>3.3536504220197538</v>
      </c>
      <c r="I86" s="5">
        <v>4.7385832342087131</v>
      </c>
      <c r="J86" s="5">
        <v>2.0045477603552562</v>
      </c>
      <c r="K86" s="5">
        <v>0.86275372911721926</v>
      </c>
      <c r="Y86" s="5">
        <v>1857</v>
      </c>
    </row>
    <row r="87" spans="1:25">
      <c r="A87" s="3">
        <f t="shared" si="7"/>
        <v>5.1643835616438354</v>
      </c>
      <c r="B87" s="3">
        <f t="shared" si="8"/>
        <v>3.255000000000003</v>
      </c>
      <c r="D87" s="5">
        <v>1885</v>
      </c>
      <c r="E87" s="5">
        <v>9.416216128320956</v>
      </c>
      <c r="F87" s="5">
        <v>7.2886294977413684</v>
      </c>
      <c r="G87" s="5">
        <v>6.027528373018912</v>
      </c>
      <c r="H87" s="5">
        <v>3.2966124907740606</v>
      </c>
      <c r="I87" s="5">
        <v>4.6829994487405253</v>
      </c>
      <c r="J87" s="5">
        <v>1.9545679206798869</v>
      </c>
      <c r="K87" s="5">
        <v>0.82635703453028109</v>
      </c>
      <c r="Y87" s="5">
        <v>1885</v>
      </c>
    </row>
    <row r="88" spans="1:25">
      <c r="A88" s="3">
        <f t="shared" si="7"/>
        <v>5.2493150684931509</v>
      </c>
      <c r="B88" s="3">
        <f t="shared" si="8"/>
        <v>3.3100000000000032</v>
      </c>
      <c r="D88" s="5">
        <v>1916</v>
      </c>
      <c r="E88" s="5">
        <v>9.4142860848327086</v>
      </c>
      <c r="F88" s="5">
        <v>7.2543070207487954</v>
      </c>
      <c r="G88" s="5">
        <v>5.9785578485567727</v>
      </c>
      <c r="H88" s="5">
        <v>3.2317677597427457</v>
      </c>
      <c r="I88" s="5">
        <v>4.6235495588392936</v>
      </c>
      <c r="J88" s="5">
        <v>1.8968845537095171</v>
      </c>
      <c r="K88" s="5">
        <v>0.78975893729423474</v>
      </c>
      <c r="Y88" s="5">
        <v>1916</v>
      </c>
    </row>
    <row r="89" spans="1:25">
      <c r="A89" s="3">
        <f t="shared" si="7"/>
        <v>5.3315068493150681</v>
      </c>
      <c r="B89" s="3">
        <f t="shared" si="8"/>
        <v>3.3650000000000033</v>
      </c>
      <c r="D89" s="5">
        <v>1946</v>
      </c>
      <c r="E89" s="5">
        <v>9.4138682425541695</v>
      </c>
      <c r="F89" s="5">
        <v>7.2198533021973814</v>
      </c>
      <c r="G89" s="5">
        <v>5.929272327540005</v>
      </c>
      <c r="H89" s="5">
        <v>3.1712588530740375</v>
      </c>
      <c r="I89" s="5">
        <v>4.5648855008039204</v>
      </c>
      <c r="J89" s="5">
        <v>1.8439716989510759</v>
      </c>
      <c r="K89" s="5">
        <v>0.75707897925120593</v>
      </c>
      <c r="Y89" s="5">
        <v>1946</v>
      </c>
    </row>
    <row r="90" spans="1:25">
      <c r="A90" s="3">
        <f t="shared" ref="A90:A106" si="9">D90/365</f>
        <v>5.4164383561643836</v>
      </c>
      <c r="B90" s="3">
        <f t="shared" si="8"/>
        <v>3.4200000000000035</v>
      </c>
      <c r="D90" s="5">
        <v>1977</v>
      </c>
      <c r="E90" s="5">
        <v>9.4103335144322795</v>
      </c>
      <c r="F90" s="5">
        <v>7.1838222313758529</v>
      </c>
      <c r="G90" s="5">
        <v>5.8796920747262842</v>
      </c>
      <c r="H90" s="5">
        <v>3.1098822042722611</v>
      </c>
      <c r="I90" s="5">
        <v>4.5057125999540624</v>
      </c>
      <c r="J90" s="5">
        <v>1.7922026244544831</v>
      </c>
      <c r="K90" s="5">
        <v>0.72383006125105276</v>
      </c>
      <c r="Y90" s="5">
        <v>1977</v>
      </c>
    </row>
    <row r="91" spans="1:25">
      <c r="A91" s="3">
        <f t="shared" si="9"/>
        <v>5.4986301369863018</v>
      </c>
      <c r="B91" s="3">
        <f t="shared" si="8"/>
        <v>3.4750000000000036</v>
      </c>
      <c r="D91" s="5">
        <v>2007</v>
      </c>
      <c r="E91" s="5">
        <v>9.4092026497205428</v>
      </c>
      <c r="F91" s="5">
        <v>7.149772958119593</v>
      </c>
      <c r="G91" s="5">
        <v>5.8333508576678668</v>
      </c>
      <c r="H91" s="5">
        <v>3.0531076064619862</v>
      </c>
      <c r="I91" s="5">
        <v>4.4505051381976877</v>
      </c>
      <c r="J91" s="5">
        <v>1.7424592332899471</v>
      </c>
      <c r="K91" s="5">
        <v>0.69108303192711129</v>
      </c>
      <c r="Y91" s="5">
        <v>2007</v>
      </c>
    </row>
    <row r="92" spans="1:25">
      <c r="A92" s="3">
        <f t="shared" si="9"/>
        <v>5.5835616438356164</v>
      </c>
      <c r="B92" s="3">
        <f t="shared" ref="B92:B106" si="10">B91+$B$24</f>
        <v>3.5300000000000038</v>
      </c>
      <c r="D92" s="5">
        <v>2038</v>
      </c>
      <c r="E92" s="5">
        <v>9.4086382110098778</v>
      </c>
      <c r="F92" s="5">
        <v>7.116243454099993</v>
      </c>
      <c r="G92" s="5">
        <v>5.7848083540310853</v>
      </c>
      <c r="H92" s="5">
        <v>2.9944837600490013</v>
      </c>
      <c r="I92" s="5">
        <v>4.39314552407932</v>
      </c>
      <c r="J92" s="5">
        <v>1.6905493836612817</v>
      </c>
      <c r="K92" s="5">
        <v>0.66030454835004981</v>
      </c>
      <c r="Y92" s="5">
        <v>2038</v>
      </c>
    </row>
    <row r="93" spans="1:25">
      <c r="A93" s="3">
        <f t="shared" si="9"/>
        <v>5.6684931506849319</v>
      </c>
      <c r="B93" s="3">
        <f t="shared" si="10"/>
        <v>3.585000000000004</v>
      </c>
      <c r="D93" s="5">
        <v>2069</v>
      </c>
      <c r="E93" s="5">
        <v>9.4070832633029635</v>
      </c>
      <c r="F93" s="5">
        <v>7.0818351019064387</v>
      </c>
      <c r="G93" s="5">
        <v>5.7369461670622472</v>
      </c>
      <c r="H93" s="5">
        <v>2.9348268386800402</v>
      </c>
      <c r="I93" s="5">
        <v>4.3347800837608146</v>
      </c>
      <c r="J93" s="5">
        <v>1.6417115978868388</v>
      </c>
      <c r="K93" s="5">
        <v>0.63245849689916545</v>
      </c>
      <c r="Y93" s="5">
        <v>2069</v>
      </c>
    </row>
    <row r="94" spans="1:25">
      <c r="A94" s="3">
        <f t="shared" si="9"/>
        <v>5.7506849315068491</v>
      </c>
      <c r="B94" s="3">
        <f t="shared" si="10"/>
        <v>3.6400000000000041</v>
      </c>
      <c r="D94" s="5">
        <v>2099</v>
      </c>
      <c r="E94" s="5">
        <v>9.4055066125105284</v>
      </c>
      <c r="F94" s="5">
        <v>7.0466669942577145</v>
      </c>
      <c r="G94" s="5">
        <v>5.688733412143022</v>
      </c>
      <c r="H94" s="5">
        <v>2.8814492556465816</v>
      </c>
      <c r="I94" s="5">
        <v>4.2803450945563135</v>
      </c>
      <c r="J94" s="5">
        <v>1.5973449238190034</v>
      </c>
      <c r="K94" s="5">
        <v>0.60495045984227858</v>
      </c>
      <c r="Y94" s="5">
        <v>2099</v>
      </c>
    </row>
    <row r="95" spans="1:25">
      <c r="A95" s="3">
        <f t="shared" si="9"/>
        <v>5.8356164383561646</v>
      </c>
      <c r="B95" s="3">
        <f t="shared" si="10"/>
        <v>3.6950000000000043</v>
      </c>
      <c r="D95" s="5">
        <v>2130</v>
      </c>
      <c r="E95" s="5">
        <v>9.4017902838986309</v>
      </c>
      <c r="F95" s="5">
        <v>7.0121644203353499</v>
      </c>
      <c r="G95" s="5">
        <v>5.6408381661434808</v>
      </c>
      <c r="H95" s="5">
        <v>2.8252917046167982</v>
      </c>
      <c r="I95" s="5">
        <v>4.2265945050149298</v>
      </c>
      <c r="J95" s="5">
        <v>1.5508919095015696</v>
      </c>
      <c r="K95" s="5">
        <v>0.57815644759206797</v>
      </c>
      <c r="Y95" s="5">
        <v>2130</v>
      </c>
    </row>
    <row r="96" spans="1:25">
      <c r="A96" s="3">
        <f t="shared" si="9"/>
        <v>5.9178082191780819</v>
      </c>
      <c r="B96" s="3">
        <f t="shared" si="10"/>
        <v>3.7500000000000044</v>
      </c>
      <c r="D96" s="5">
        <v>2160</v>
      </c>
      <c r="E96" s="5">
        <v>9.3998787852384957</v>
      </c>
      <c r="F96" s="5">
        <v>6.9807440612510536</v>
      </c>
      <c r="G96" s="5">
        <v>5.5961110101829883</v>
      </c>
      <c r="H96" s="5">
        <v>2.7718873400199069</v>
      </c>
      <c r="I96" s="5">
        <v>4.1725076288186207</v>
      </c>
      <c r="J96" s="5">
        <v>1.507684133986678</v>
      </c>
      <c r="K96" s="5">
        <v>0.5533204010412679</v>
      </c>
      <c r="Y96" s="5">
        <v>2160</v>
      </c>
    </row>
    <row r="97" spans="1:25">
      <c r="A97" s="3">
        <f t="shared" si="9"/>
        <v>6.0027397260273974</v>
      </c>
      <c r="B97" s="3">
        <f t="shared" si="10"/>
        <v>3.8050000000000046</v>
      </c>
      <c r="D97" s="5">
        <v>2191</v>
      </c>
      <c r="E97" s="5">
        <v>9.3993251305413068</v>
      </c>
      <c r="F97" s="5">
        <v>6.9454505944414677</v>
      </c>
      <c r="G97" s="5">
        <v>5.5493274230150833</v>
      </c>
      <c r="H97" s="5">
        <v>2.7183581546589082</v>
      </c>
      <c r="I97" s="5">
        <v>4.1184665517188579</v>
      </c>
      <c r="J97" s="5">
        <v>1.4642680885077715</v>
      </c>
      <c r="K97" s="5">
        <v>0.52989046948931939</v>
      </c>
      <c r="Y97" s="5">
        <v>2191</v>
      </c>
    </row>
    <row r="98" spans="1:25">
      <c r="A98" s="3">
        <f t="shared" si="9"/>
        <v>6.087671232876712</v>
      </c>
      <c r="B98" s="3">
        <f t="shared" si="10"/>
        <v>3.8600000000000048</v>
      </c>
      <c r="D98" s="5">
        <v>2222</v>
      </c>
      <c r="E98" s="5">
        <v>9.3967460892734103</v>
      </c>
      <c r="F98" s="5">
        <v>6.9114808605772913</v>
      </c>
      <c r="G98" s="5">
        <v>5.5029272799938749</v>
      </c>
      <c r="H98" s="5">
        <v>2.6657603515810431</v>
      </c>
      <c r="I98" s="5">
        <v>4.0651086684021136</v>
      </c>
      <c r="J98" s="5">
        <v>1.4234796433657455</v>
      </c>
      <c r="K98" s="5">
        <v>0.50663479886685558</v>
      </c>
      <c r="Y98" s="5">
        <v>2222</v>
      </c>
    </row>
    <row r="99" spans="1:25">
      <c r="A99" s="3">
        <f t="shared" si="9"/>
        <v>6.1643835616438354</v>
      </c>
      <c r="B99" s="3">
        <f t="shared" si="10"/>
        <v>3.9150000000000049</v>
      </c>
      <c r="D99" s="5">
        <v>2250</v>
      </c>
      <c r="E99" s="5">
        <v>9.3950123557154903</v>
      </c>
      <c r="F99" s="5">
        <v>6.8809739329300976</v>
      </c>
      <c r="G99" s="5">
        <v>5.4613851653012793</v>
      </c>
      <c r="H99" s="5">
        <v>2.6206015897710744</v>
      </c>
      <c r="I99" s="5">
        <v>4.0188885520251132</v>
      </c>
      <c r="J99" s="5">
        <v>1.3863627889135595</v>
      </c>
      <c r="K99" s="5">
        <v>0.48535924814332743</v>
      </c>
      <c r="Y99" s="5">
        <v>2250</v>
      </c>
    </row>
    <row r="100" spans="1:25">
      <c r="A100" s="3">
        <f t="shared" si="9"/>
        <v>6.2493150684931509</v>
      </c>
      <c r="B100" s="3">
        <f t="shared" si="10"/>
        <v>3.9700000000000051</v>
      </c>
      <c r="D100" s="5">
        <v>2281</v>
      </c>
      <c r="E100" s="5">
        <v>9.3944084537171744</v>
      </c>
      <c r="F100" s="5">
        <v>6.848662013168977</v>
      </c>
      <c r="G100" s="5">
        <v>5.4172538693821304</v>
      </c>
      <c r="H100" s="5">
        <v>2.5699009002373483</v>
      </c>
      <c r="I100" s="5">
        <v>3.9670488345455941</v>
      </c>
      <c r="J100" s="5">
        <v>1.3447695853303729</v>
      </c>
      <c r="K100" s="5">
        <v>0.46452402603169746</v>
      </c>
      <c r="Y100" s="5">
        <v>2281</v>
      </c>
    </row>
    <row r="101" spans="1:25">
      <c r="A101" s="3">
        <f t="shared" si="9"/>
        <v>6.3315068493150681</v>
      </c>
      <c r="B101" s="3">
        <f t="shared" si="10"/>
        <v>4.0250000000000048</v>
      </c>
      <c r="D101" s="5">
        <v>2311</v>
      </c>
      <c r="E101" s="5">
        <v>9.3927549022280061</v>
      </c>
      <c r="F101" s="5">
        <v>6.8165338980169974</v>
      </c>
      <c r="G101" s="5">
        <v>5.3738016286654933</v>
      </c>
      <c r="H101" s="5">
        <v>2.5200877664803616</v>
      </c>
      <c r="I101" s="5">
        <v>3.9157974813567109</v>
      </c>
      <c r="J101" s="5">
        <v>1.3099575315825742</v>
      </c>
      <c r="K101" s="5">
        <v>0.44471457514738538</v>
      </c>
      <c r="Y101" s="5">
        <v>2311</v>
      </c>
    </row>
    <row r="102" spans="1:25">
      <c r="A102" s="3">
        <f t="shared" si="9"/>
        <v>6.4164383561643836</v>
      </c>
      <c r="B102" s="3">
        <f t="shared" si="10"/>
        <v>4.0800000000000045</v>
      </c>
      <c r="D102" s="5">
        <v>2342</v>
      </c>
      <c r="E102" s="5">
        <v>9.3912261687466518</v>
      </c>
      <c r="F102" s="5">
        <v>6.7816940304723996</v>
      </c>
      <c r="G102" s="5">
        <v>5.3271190427991737</v>
      </c>
      <c r="H102" s="5">
        <v>2.474006905596815</v>
      </c>
      <c r="I102" s="5">
        <v>3.8647343717938902</v>
      </c>
      <c r="J102" s="5">
        <v>1.2710433089349975</v>
      </c>
      <c r="K102" s="5">
        <v>0.42457864818926577</v>
      </c>
      <c r="Y102" s="5">
        <v>2342</v>
      </c>
    </row>
    <row r="103" spans="1:25">
      <c r="A103" s="3">
        <f t="shared" si="9"/>
        <v>6.4986301369863018</v>
      </c>
      <c r="B103" s="3">
        <f t="shared" si="10"/>
        <v>4.1350000000000042</v>
      </c>
      <c r="D103" s="5">
        <v>2372</v>
      </c>
      <c r="E103" s="5">
        <v>9.387701245693286</v>
      </c>
      <c r="F103" s="5">
        <v>6.7495778284970527</v>
      </c>
      <c r="G103" s="5">
        <v>5.2836836513283822</v>
      </c>
      <c r="H103" s="5">
        <v>2.4264828717556086</v>
      </c>
      <c r="I103" s="5">
        <v>3.818993966005666</v>
      </c>
      <c r="J103" s="5">
        <v>1.2351762548043794</v>
      </c>
      <c r="K103" s="5">
        <v>0.40612785070055896</v>
      </c>
      <c r="Y103" s="5">
        <v>2372</v>
      </c>
    </row>
    <row r="104" spans="1:25">
      <c r="A104" s="3">
        <f t="shared" si="9"/>
        <v>6.5835616438356164</v>
      </c>
      <c r="B104" s="3">
        <f t="shared" si="10"/>
        <v>4.1900000000000039</v>
      </c>
      <c r="D104" s="5">
        <v>2403</v>
      </c>
      <c r="E104" s="5">
        <v>9.3857775490391244</v>
      </c>
      <c r="F104" s="5">
        <v>6.7182552858127256</v>
      </c>
      <c r="G104" s="5">
        <v>5.2409363129928801</v>
      </c>
      <c r="H104" s="5">
        <v>2.3791728409769548</v>
      </c>
      <c r="I104" s="5">
        <v>3.7682838742822149</v>
      </c>
      <c r="J104" s="5">
        <v>1.1996237217670929</v>
      </c>
      <c r="K104" s="5">
        <v>0.38806617900620172</v>
      </c>
      <c r="Y104" s="5">
        <v>2403</v>
      </c>
    </row>
    <row r="105" spans="1:25">
      <c r="A105" s="3">
        <f t="shared" si="9"/>
        <v>6.6684931506849319</v>
      </c>
      <c r="B105" s="3">
        <f t="shared" si="10"/>
        <v>4.2450000000000037</v>
      </c>
      <c r="D105" s="5">
        <v>2434</v>
      </c>
      <c r="E105" s="5">
        <v>9.3856204906209335</v>
      </c>
      <c r="F105" s="5">
        <v>6.6849066831023665</v>
      </c>
      <c r="G105" s="5">
        <v>5.1966826746803463</v>
      </c>
      <c r="H105" s="5">
        <v>2.3331712668248987</v>
      </c>
      <c r="I105" s="5">
        <v>3.7189833585483503</v>
      </c>
      <c r="J105" s="5">
        <v>1.1650755890054361</v>
      </c>
      <c r="K105" s="5">
        <v>0.37215875400045939</v>
      </c>
      <c r="Y105" s="5">
        <v>2434</v>
      </c>
    </row>
    <row r="106" spans="1:25">
      <c r="A106" s="3">
        <f t="shared" si="9"/>
        <v>6.7506849315068491</v>
      </c>
      <c r="B106" s="3">
        <f t="shared" si="10"/>
        <v>4.3000000000000034</v>
      </c>
      <c r="D106" s="5">
        <v>2464</v>
      </c>
      <c r="E106" s="5">
        <v>9.3826801727279694</v>
      </c>
      <c r="F106" s="5">
        <v>6.6527550254957513</v>
      </c>
      <c r="G106" s="5">
        <v>5.1546736657223802</v>
      </c>
      <c r="H106" s="5">
        <v>2.2895010310083457</v>
      </c>
      <c r="I106" s="5">
        <v>3.6723961984534115</v>
      </c>
      <c r="J106" s="5">
        <v>1.1336373231758672</v>
      </c>
      <c r="K106" s="5">
        <v>0.35717659321644596</v>
      </c>
      <c r="Y106" s="5">
        <v>2464</v>
      </c>
    </row>
    <row r="107" spans="1:25">
      <c r="D107">
        <v>2495</v>
      </c>
      <c r="Y107">
        <v>2495</v>
      </c>
    </row>
    <row r="108" spans="1:25">
      <c r="D108">
        <v>2525</v>
      </c>
      <c r="Y108">
        <v>2525</v>
      </c>
    </row>
    <row r="109" spans="1:25">
      <c r="D109">
        <v>2556</v>
      </c>
      <c r="Y109">
        <v>2556</v>
      </c>
    </row>
    <row r="110" spans="1:25">
      <c r="D110">
        <v>2587</v>
      </c>
      <c r="Y110">
        <v>2587</v>
      </c>
    </row>
    <row r="111" spans="1:25">
      <c r="D111">
        <v>2616</v>
      </c>
      <c r="Y111">
        <v>2616</v>
      </c>
    </row>
    <row r="112" spans="1:25">
      <c r="D112">
        <v>2647</v>
      </c>
      <c r="Y112">
        <v>2647</v>
      </c>
    </row>
    <row r="113" spans="4:25">
      <c r="D113">
        <v>2677</v>
      </c>
      <c r="Y113">
        <v>2677</v>
      </c>
    </row>
    <row r="114" spans="4:25">
      <c r="D114">
        <v>2708</v>
      </c>
      <c r="Y114">
        <v>2708</v>
      </c>
    </row>
    <row r="115" spans="4:25">
      <c r="D115">
        <v>2738</v>
      </c>
      <c r="Y115">
        <v>2738</v>
      </c>
    </row>
    <row r="116" spans="4:25">
      <c r="D116">
        <v>2769</v>
      </c>
      <c r="Y116">
        <v>2769</v>
      </c>
    </row>
    <row r="117" spans="4:25">
      <c r="D117">
        <v>2800</v>
      </c>
      <c r="Y117">
        <v>2800</v>
      </c>
    </row>
    <row r="118" spans="4:25">
      <c r="D118">
        <v>2830</v>
      </c>
      <c r="Y118">
        <v>2830</v>
      </c>
    </row>
    <row r="119" spans="4:25">
      <c r="D119">
        <v>2861</v>
      </c>
      <c r="Y119">
        <v>2861</v>
      </c>
    </row>
    <row r="120" spans="4:25">
      <c r="D120">
        <v>2891</v>
      </c>
      <c r="Y120">
        <v>2891</v>
      </c>
    </row>
    <row r="121" spans="4:25">
      <c r="D121">
        <v>2922</v>
      </c>
      <c r="Y121">
        <v>2922</v>
      </c>
    </row>
    <row r="122" spans="4:25">
      <c r="D122">
        <v>2953</v>
      </c>
      <c r="Y122">
        <v>2953</v>
      </c>
    </row>
    <row r="123" spans="4:25">
      <c r="D123">
        <v>2981</v>
      </c>
      <c r="Y123">
        <v>2981</v>
      </c>
    </row>
    <row r="124" spans="4:25">
      <c r="D124">
        <v>3012</v>
      </c>
      <c r="Y124">
        <v>3012</v>
      </c>
    </row>
    <row r="125" spans="4:25">
      <c r="D125">
        <v>3042</v>
      </c>
      <c r="Y125">
        <v>3042</v>
      </c>
    </row>
    <row r="126" spans="4:25">
      <c r="D126">
        <v>3073</v>
      </c>
      <c r="Y126">
        <v>3073</v>
      </c>
    </row>
    <row r="127" spans="4:25">
      <c r="D127">
        <v>3103</v>
      </c>
      <c r="Y127">
        <v>3103</v>
      </c>
    </row>
    <row r="128" spans="4:25">
      <c r="D128">
        <v>3134</v>
      </c>
      <c r="Y128">
        <v>3134</v>
      </c>
    </row>
    <row r="129" spans="4:25">
      <c r="D129">
        <v>3165</v>
      </c>
      <c r="Y129">
        <v>3165</v>
      </c>
    </row>
    <row r="130" spans="4:25">
      <c r="D130">
        <v>3195</v>
      </c>
      <c r="Y130">
        <v>3195</v>
      </c>
    </row>
    <row r="131" spans="4:25">
      <c r="D131">
        <v>3226</v>
      </c>
      <c r="Y131">
        <v>3226</v>
      </c>
    </row>
    <row r="132" spans="4:25">
      <c r="D132">
        <v>3256</v>
      </c>
      <c r="Y132">
        <v>3256</v>
      </c>
    </row>
    <row r="133" spans="4:25">
      <c r="D133">
        <v>3287</v>
      </c>
      <c r="Y133">
        <v>3287</v>
      </c>
    </row>
    <row r="134" spans="4:25">
      <c r="D134">
        <v>3318</v>
      </c>
      <c r="Y134">
        <v>3318</v>
      </c>
    </row>
    <row r="135" spans="4:25">
      <c r="D135">
        <v>3346</v>
      </c>
      <c r="Y135">
        <v>3346</v>
      </c>
    </row>
    <row r="136" spans="4:25">
      <c r="D136">
        <v>3377</v>
      </c>
      <c r="Y136">
        <v>3377</v>
      </c>
    </row>
    <row r="137" spans="4:25">
      <c r="D137">
        <v>3407</v>
      </c>
      <c r="Y137">
        <v>3407</v>
      </c>
    </row>
    <row r="138" spans="4:25">
      <c r="D138">
        <v>3438</v>
      </c>
      <c r="Y138">
        <v>3438</v>
      </c>
    </row>
    <row r="139" spans="4:25">
      <c r="D139">
        <v>3468</v>
      </c>
      <c r="Y139">
        <v>3468</v>
      </c>
    </row>
    <row r="140" spans="4:25">
      <c r="D140">
        <v>3499</v>
      </c>
      <c r="Y140">
        <v>3499</v>
      </c>
    </row>
    <row r="141" spans="4:25">
      <c r="D141">
        <v>3530</v>
      </c>
      <c r="Y141">
        <v>3530</v>
      </c>
    </row>
    <row r="142" spans="4:25">
      <c r="D142">
        <v>3560</v>
      </c>
      <c r="Y142">
        <v>3560</v>
      </c>
    </row>
    <row r="143" spans="4:25">
      <c r="D143">
        <v>3591</v>
      </c>
      <c r="Y143">
        <v>3591</v>
      </c>
    </row>
    <row r="144" spans="4:25">
      <c r="D144">
        <v>3621</v>
      </c>
      <c r="Y144">
        <v>3621</v>
      </c>
    </row>
    <row r="145" spans="4:25">
      <c r="D145">
        <v>3652</v>
      </c>
      <c r="Y145">
        <v>3652</v>
      </c>
    </row>
    <row r="146" spans="4:25">
      <c r="D146">
        <v>3683</v>
      </c>
      <c r="Y146">
        <v>3683</v>
      </c>
    </row>
    <row r="147" spans="4:25">
      <c r="D147">
        <v>3711</v>
      </c>
      <c r="Y147">
        <v>3711</v>
      </c>
    </row>
    <row r="148" spans="4:25">
      <c r="D148">
        <v>3742</v>
      </c>
      <c r="Y148">
        <v>3742</v>
      </c>
    </row>
    <row r="149" spans="4:25">
      <c r="D149">
        <v>3772</v>
      </c>
      <c r="Y149">
        <v>3772</v>
      </c>
    </row>
    <row r="150" spans="4:25">
      <c r="D150">
        <v>3803</v>
      </c>
      <c r="Y150">
        <v>3803</v>
      </c>
    </row>
    <row r="151" spans="4:25">
      <c r="D151">
        <v>3833</v>
      </c>
      <c r="Y151">
        <v>3833</v>
      </c>
    </row>
    <row r="152" spans="4:25">
      <c r="D152">
        <v>3864</v>
      </c>
      <c r="Y152">
        <v>3864</v>
      </c>
    </row>
    <row r="153" spans="4:25">
      <c r="D153">
        <v>3895</v>
      </c>
      <c r="Y153">
        <v>3895</v>
      </c>
    </row>
    <row r="154" spans="4:25">
      <c r="D154">
        <v>3925</v>
      </c>
      <c r="Y154">
        <v>3925</v>
      </c>
    </row>
    <row r="155" spans="4:25">
      <c r="D155">
        <v>3956</v>
      </c>
      <c r="Y155">
        <v>3956</v>
      </c>
    </row>
    <row r="156" spans="4:25">
      <c r="D156">
        <v>3986</v>
      </c>
      <c r="Y156">
        <v>3986</v>
      </c>
    </row>
    <row r="157" spans="4:25">
      <c r="D157">
        <v>4017</v>
      </c>
      <c r="Y157">
        <v>4017</v>
      </c>
    </row>
    <row r="158" spans="4:25">
      <c r="D158">
        <v>4048</v>
      </c>
      <c r="Y158">
        <v>4048</v>
      </c>
    </row>
    <row r="159" spans="4:25">
      <c r="D159">
        <v>4077</v>
      </c>
      <c r="Y159">
        <v>4077</v>
      </c>
    </row>
    <row r="160" spans="4:25">
      <c r="D160">
        <v>4108</v>
      </c>
      <c r="Y160">
        <v>4108</v>
      </c>
    </row>
    <row r="161" spans="4:25">
      <c r="D161">
        <v>4138</v>
      </c>
      <c r="Y161">
        <v>4138</v>
      </c>
    </row>
    <row r="162" spans="4:25">
      <c r="D162">
        <v>4169</v>
      </c>
      <c r="Y162">
        <v>4169</v>
      </c>
    </row>
    <row r="163" spans="4:25">
      <c r="D163">
        <v>4199</v>
      </c>
      <c r="Y163">
        <v>4199</v>
      </c>
    </row>
    <row r="164" spans="4:25">
      <c r="D164">
        <v>4230</v>
      </c>
      <c r="Y164">
        <v>4230</v>
      </c>
    </row>
    <row r="165" spans="4:25">
      <c r="D165">
        <v>4261</v>
      </c>
      <c r="Y165">
        <v>4261</v>
      </c>
    </row>
    <row r="166" spans="4:25">
      <c r="D166">
        <v>4291</v>
      </c>
      <c r="Y166">
        <v>4291</v>
      </c>
    </row>
    <row r="167" spans="4:25">
      <c r="D167">
        <v>4322</v>
      </c>
      <c r="Y167">
        <v>4322</v>
      </c>
    </row>
    <row r="168" spans="4:25">
      <c r="D168">
        <v>4352</v>
      </c>
      <c r="Y168">
        <v>4352</v>
      </c>
    </row>
    <row r="169" spans="4:25">
      <c r="D169">
        <v>4383</v>
      </c>
      <c r="Y169">
        <v>4383</v>
      </c>
    </row>
    <row r="170" spans="4:25">
      <c r="D170">
        <v>4414</v>
      </c>
      <c r="Y170">
        <v>4414</v>
      </c>
    </row>
    <row r="171" spans="4:25">
      <c r="D171">
        <v>4442</v>
      </c>
      <c r="Y171">
        <v>4442</v>
      </c>
    </row>
    <row r="172" spans="4:25">
      <c r="D172">
        <v>4473</v>
      </c>
      <c r="Y172">
        <v>4473</v>
      </c>
    </row>
    <row r="173" spans="4:25">
      <c r="D173">
        <v>4503</v>
      </c>
      <c r="Y173">
        <v>4503</v>
      </c>
    </row>
    <row r="174" spans="4:25">
      <c r="D174">
        <v>4534</v>
      </c>
      <c r="Y174">
        <v>4534</v>
      </c>
    </row>
    <row r="175" spans="4:25">
      <c r="D175">
        <v>4564</v>
      </c>
      <c r="Y175">
        <v>4564</v>
      </c>
    </row>
    <row r="176" spans="4:25">
      <c r="D176">
        <v>4595</v>
      </c>
      <c r="Y176">
        <v>4595</v>
      </c>
    </row>
    <row r="177" spans="4:25">
      <c r="D177">
        <v>4626</v>
      </c>
      <c r="Y177">
        <v>4626</v>
      </c>
    </row>
    <row r="178" spans="4:25">
      <c r="D178">
        <v>4656</v>
      </c>
      <c r="Y178">
        <v>4656</v>
      </c>
    </row>
    <row r="179" spans="4:25">
      <c r="D179">
        <v>4687</v>
      </c>
      <c r="Y179">
        <v>4687</v>
      </c>
    </row>
    <row r="180" spans="4:25">
      <c r="D180">
        <v>4717</v>
      </c>
      <c r="Y180">
        <v>4717</v>
      </c>
    </row>
    <row r="181" spans="4:25">
      <c r="D181">
        <v>4748</v>
      </c>
      <c r="Y181">
        <v>4748</v>
      </c>
    </row>
    <row r="182" spans="4:25">
      <c r="D182">
        <v>4779</v>
      </c>
      <c r="Y182">
        <v>4779</v>
      </c>
    </row>
    <row r="183" spans="4:25">
      <c r="D183">
        <v>4807</v>
      </c>
      <c r="Y183">
        <v>4807</v>
      </c>
    </row>
    <row r="184" spans="4:25">
      <c r="D184">
        <v>4838</v>
      </c>
      <c r="Y184">
        <v>4838</v>
      </c>
    </row>
    <row r="185" spans="4:25">
      <c r="D185">
        <v>4868</v>
      </c>
      <c r="Y185">
        <v>4868</v>
      </c>
    </row>
    <row r="186" spans="4:25">
      <c r="D186">
        <v>4899</v>
      </c>
      <c r="Y186">
        <v>4899</v>
      </c>
    </row>
    <row r="187" spans="4:25">
      <c r="D187">
        <v>4929</v>
      </c>
      <c r="Y187">
        <v>4929</v>
      </c>
    </row>
    <row r="188" spans="4:25">
      <c r="D188">
        <v>4960</v>
      </c>
      <c r="Y188">
        <v>4960</v>
      </c>
    </row>
    <row r="189" spans="4:25">
      <c r="D189">
        <v>4991</v>
      </c>
      <c r="Y189">
        <v>4991</v>
      </c>
    </row>
    <row r="190" spans="4:25">
      <c r="D190">
        <v>5021</v>
      </c>
      <c r="Y190">
        <v>5021</v>
      </c>
    </row>
    <row r="191" spans="4:25">
      <c r="D191">
        <v>5052</v>
      </c>
      <c r="Y191">
        <v>5052</v>
      </c>
    </row>
    <row r="192" spans="4:25">
      <c r="D192">
        <v>5082</v>
      </c>
      <c r="Y192">
        <v>5082</v>
      </c>
    </row>
    <row r="193" spans="4:25">
      <c r="D193">
        <v>5113</v>
      </c>
      <c r="Y193">
        <v>5113</v>
      </c>
    </row>
    <row r="194" spans="4:25">
      <c r="D194">
        <v>5144</v>
      </c>
      <c r="Y194">
        <v>5144</v>
      </c>
    </row>
    <row r="195" spans="4:25">
      <c r="D195">
        <v>5172</v>
      </c>
      <c r="Y195">
        <v>5172</v>
      </c>
    </row>
    <row r="196" spans="4:25">
      <c r="D196">
        <v>5203</v>
      </c>
      <c r="Y196">
        <v>5203</v>
      </c>
    </row>
    <row r="197" spans="4:25">
      <c r="D197">
        <v>5233</v>
      </c>
      <c r="Y197">
        <v>5233</v>
      </c>
    </row>
    <row r="198" spans="4:25">
      <c r="D198">
        <v>5264</v>
      </c>
      <c r="Y198">
        <v>5264</v>
      </c>
    </row>
    <row r="199" spans="4:25">
      <c r="D199">
        <v>5294</v>
      </c>
      <c r="Y199">
        <v>5294</v>
      </c>
    </row>
    <row r="200" spans="4:25">
      <c r="D200">
        <v>5325</v>
      </c>
      <c r="Y200">
        <v>5325</v>
      </c>
    </row>
    <row r="201" spans="4:25">
      <c r="D201">
        <v>5356</v>
      </c>
      <c r="Y201">
        <v>5356</v>
      </c>
    </row>
    <row r="202" spans="4:25">
      <c r="D202">
        <v>5386</v>
      </c>
      <c r="Y202">
        <v>5386</v>
      </c>
    </row>
    <row r="203" spans="4:25">
      <c r="D203">
        <v>5417</v>
      </c>
      <c r="Y203">
        <v>5417</v>
      </c>
    </row>
    <row r="204" spans="4:25">
      <c r="D204">
        <v>5447</v>
      </c>
      <c r="Y204">
        <v>5447</v>
      </c>
    </row>
    <row r="205" spans="4:25">
      <c r="D205">
        <v>5478</v>
      </c>
      <c r="Y205">
        <v>5478</v>
      </c>
    </row>
    <row r="206" spans="4:25">
      <c r="D206">
        <v>5509</v>
      </c>
      <c r="Y206">
        <v>5509</v>
      </c>
    </row>
    <row r="207" spans="4:25">
      <c r="D207">
        <v>5538</v>
      </c>
      <c r="Y207">
        <v>5538</v>
      </c>
    </row>
    <row r="208" spans="4:25">
      <c r="D208">
        <v>5569</v>
      </c>
      <c r="Y208">
        <v>5569</v>
      </c>
    </row>
    <row r="209" spans="4:25">
      <c r="D209">
        <v>5599</v>
      </c>
      <c r="Y209">
        <v>5599</v>
      </c>
    </row>
    <row r="210" spans="4:25">
      <c r="D210">
        <v>5630</v>
      </c>
      <c r="Y210">
        <v>5630</v>
      </c>
    </row>
    <row r="211" spans="4:25">
      <c r="D211">
        <v>5660</v>
      </c>
      <c r="Y211">
        <v>5660</v>
      </c>
    </row>
    <row r="212" spans="4:25">
      <c r="D212">
        <v>5691</v>
      </c>
      <c r="Y212">
        <v>5691</v>
      </c>
    </row>
    <row r="213" spans="4:25">
      <c r="D213">
        <v>5722</v>
      </c>
      <c r="Y213">
        <v>5722</v>
      </c>
    </row>
    <row r="214" spans="4:25">
      <c r="D214">
        <v>5752</v>
      </c>
      <c r="Y214">
        <v>5752</v>
      </c>
    </row>
    <row r="215" spans="4:25">
      <c r="D215">
        <v>5783</v>
      </c>
      <c r="Y215">
        <v>5783</v>
      </c>
    </row>
    <row r="216" spans="4:25">
      <c r="D216">
        <v>5813</v>
      </c>
      <c r="Y216">
        <v>5813</v>
      </c>
    </row>
    <row r="217" spans="4:25">
      <c r="D217">
        <v>5844</v>
      </c>
      <c r="Y217">
        <v>5844</v>
      </c>
    </row>
    <row r="218" spans="4:25">
      <c r="D218">
        <v>5875</v>
      </c>
      <c r="Y218">
        <v>5875</v>
      </c>
    </row>
    <row r="219" spans="4:25">
      <c r="D219">
        <v>5903</v>
      </c>
      <c r="Y219">
        <v>5903</v>
      </c>
    </row>
    <row r="220" spans="4:25">
      <c r="D220">
        <v>5934</v>
      </c>
      <c r="Y220">
        <v>5934</v>
      </c>
    </row>
    <row r="221" spans="4:25">
      <c r="D221">
        <v>5964</v>
      </c>
      <c r="Y221">
        <v>5964</v>
      </c>
    </row>
    <row r="222" spans="4:25">
      <c r="D222">
        <v>5995</v>
      </c>
      <c r="Y222">
        <v>5995</v>
      </c>
    </row>
    <row r="223" spans="4:25">
      <c r="D223">
        <v>6025</v>
      </c>
      <c r="Y223">
        <v>6025</v>
      </c>
    </row>
    <row r="224" spans="4:25">
      <c r="D224">
        <v>6056</v>
      </c>
      <c r="Y224">
        <v>6056</v>
      </c>
    </row>
    <row r="225" spans="4:25">
      <c r="D225">
        <v>6087</v>
      </c>
      <c r="Y225">
        <v>6087</v>
      </c>
    </row>
    <row r="226" spans="4:25">
      <c r="D226">
        <v>6117</v>
      </c>
      <c r="Y226">
        <v>6117</v>
      </c>
    </row>
    <row r="227" spans="4:25">
      <c r="D227">
        <v>6148</v>
      </c>
      <c r="Y227">
        <v>6148</v>
      </c>
    </row>
    <row r="228" spans="4:25">
      <c r="D228">
        <v>6178</v>
      </c>
      <c r="Y228">
        <v>6178</v>
      </c>
    </row>
    <row r="229" spans="4:25">
      <c r="D229">
        <v>6209</v>
      </c>
      <c r="Y229">
        <v>6209</v>
      </c>
    </row>
    <row r="230" spans="4:25">
      <c r="D230">
        <v>6240</v>
      </c>
      <c r="Y230">
        <v>6240</v>
      </c>
    </row>
    <row r="231" spans="4:25">
      <c r="D231">
        <v>6268</v>
      </c>
      <c r="Y231">
        <v>6268</v>
      </c>
    </row>
    <row r="232" spans="4:25">
      <c r="D232">
        <v>6299</v>
      </c>
      <c r="Y232">
        <v>6299</v>
      </c>
    </row>
    <row r="233" spans="4:25">
      <c r="D233">
        <v>6329</v>
      </c>
      <c r="Y233">
        <v>6329</v>
      </c>
    </row>
    <row r="234" spans="4:25">
      <c r="D234">
        <v>6360</v>
      </c>
      <c r="Y234">
        <v>6360</v>
      </c>
    </row>
    <row r="235" spans="4:25">
      <c r="D235">
        <v>6390</v>
      </c>
      <c r="Y235">
        <v>6390</v>
      </c>
    </row>
    <row r="236" spans="4:25">
      <c r="D236">
        <v>6421</v>
      </c>
      <c r="Y236">
        <v>6421</v>
      </c>
    </row>
    <row r="237" spans="4:25">
      <c r="D237">
        <v>6452</v>
      </c>
      <c r="Y237">
        <v>6452</v>
      </c>
    </row>
    <row r="238" spans="4:25">
      <c r="D238">
        <v>6482</v>
      </c>
      <c r="Y238">
        <v>6482</v>
      </c>
    </row>
    <row r="239" spans="4:25">
      <c r="D239">
        <v>6513</v>
      </c>
      <c r="Y239">
        <v>6513</v>
      </c>
    </row>
    <row r="240" spans="4:25">
      <c r="D240">
        <v>6543</v>
      </c>
      <c r="Y240">
        <v>6543</v>
      </c>
    </row>
    <row r="241" spans="4:25">
      <c r="D241">
        <v>6574</v>
      </c>
      <c r="Y241">
        <v>6574</v>
      </c>
    </row>
    <row r="242" spans="4:25">
      <c r="D242">
        <v>6605</v>
      </c>
      <c r="Y242">
        <v>6605</v>
      </c>
    </row>
    <row r="243" spans="4:25">
      <c r="D243">
        <v>6633</v>
      </c>
      <c r="Y243">
        <v>6633</v>
      </c>
    </row>
    <row r="244" spans="4:25">
      <c r="D244">
        <v>6664</v>
      </c>
      <c r="Y244">
        <v>6664</v>
      </c>
    </row>
    <row r="245" spans="4:25">
      <c r="D245">
        <v>6694</v>
      </c>
      <c r="Y245">
        <v>6694</v>
      </c>
    </row>
    <row r="246" spans="4:25">
      <c r="D246">
        <v>6725</v>
      </c>
      <c r="Y246">
        <v>6725</v>
      </c>
    </row>
    <row r="247" spans="4:25">
      <c r="D247">
        <v>6755</v>
      </c>
      <c r="Y247">
        <v>6755</v>
      </c>
    </row>
    <row r="248" spans="4:25">
      <c r="D248">
        <v>6786</v>
      </c>
      <c r="Y248">
        <v>6786</v>
      </c>
    </row>
    <row r="249" spans="4:25">
      <c r="D249">
        <v>6817</v>
      </c>
      <c r="Y249">
        <v>6817</v>
      </c>
    </row>
    <row r="250" spans="4:25">
      <c r="D250">
        <v>6847</v>
      </c>
      <c r="Y250">
        <v>6847</v>
      </c>
    </row>
    <row r="251" spans="4:25">
      <c r="D251">
        <v>6878</v>
      </c>
      <c r="Y251">
        <v>6878</v>
      </c>
    </row>
    <row r="252" spans="4:25">
      <c r="D252">
        <v>6908</v>
      </c>
      <c r="Y252">
        <v>6908</v>
      </c>
    </row>
    <row r="253" spans="4:25">
      <c r="D253">
        <v>6939</v>
      </c>
      <c r="Y253">
        <v>6939</v>
      </c>
    </row>
    <row r="254" spans="4:25">
      <c r="D254">
        <v>6970</v>
      </c>
      <c r="Y254">
        <v>6970</v>
      </c>
    </row>
    <row r="255" spans="4:25">
      <c r="D255">
        <v>6999</v>
      </c>
      <c r="Y255">
        <v>6999</v>
      </c>
    </row>
    <row r="256" spans="4:25">
      <c r="D256">
        <v>7030</v>
      </c>
      <c r="Y256">
        <v>7030</v>
      </c>
    </row>
    <row r="257" spans="4:25">
      <c r="D257">
        <v>7060</v>
      </c>
      <c r="Y257">
        <v>7060</v>
      </c>
    </row>
    <row r="258" spans="4:25">
      <c r="D258">
        <v>7091</v>
      </c>
      <c r="Y258">
        <v>7091</v>
      </c>
    </row>
    <row r="259" spans="4:25">
      <c r="D259">
        <v>7121</v>
      </c>
      <c r="Y259">
        <v>7121</v>
      </c>
    </row>
    <row r="260" spans="4:25">
      <c r="D260">
        <v>7152</v>
      </c>
      <c r="Y260">
        <v>7152</v>
      </c>
    </row>
    <row r="261" spans="4:25">
      <c r="D261">
        <v>7183</v>
      </c>
      <c r="Y261">
        <v>7183</v>
      </c>
    </row>
    <row r="262" spans="4:25">
      <c r="D262">
        <v>7213</v>
      </c>
      <c r="Y262">
        <v>7213</v>
      </c>
    </row>
    <row r="263" spans="4:25">
      <c r="D263">
        <v>7244</v>
      </c>
      <c r="Y263">
        <v>7244</v>
      </c>
    </row>
    <row r="264" spans="4:25">
      <c r="D264">
        <v>7274</v>
      </c>
      <c r="Y264">
        <v>7274</v>
      </c>
    </row>
    <row r="265" spans="4:25">
      <c r="D265">
        <v>7305</v>
      </c>
      <c r="Y265">
        <v>7305</v>
      </c>
    </row>
    <row r="266" spans="4:25">
      <c r="D266">
        <v>7336</v>
      </c>
      <c r="Y266">
        <v>7336</v>
      </c>
    </row>
    <row r="267" spans="4:25">
      <c r="D267">
        <v>7364</v>
      </c>
      <c r="Y267">
        <v>7364</v>
      </c>
    </row>
    <row r="268" spans="4:25">
      <c r="D268">
        <v>7395</v>
      </c>
      <c r="Y268">
        <v>7395</v>
      </c>
    </row>
    <row r="269" spans="4:25">
      <c r="D269">
        <v>7425</v>
      </c>
      <c r="Y269">
        <v>7425</v>
      </c>
    </row>
    <row r="270" spans="4:25">
      <c r="D270">
        <v>7456</v>
      </c>
      <c r="Y270">
        <v>7456</v>
      </c>
    </row>
    <row r="271" spans="4:25">
      <c r="D271">
        <v>7486</v>
      </c>
      <c r="Y271">
        <v>7486</v>
      </c>
    </row>
    <row r="272" spans="4:25">
      <c r="D272">
        <v>7517</v>
      </c>
      <c r="Y272">
        <v>7517</v>
      </c>
    </row>
    <row r="273" spans="4:25">
      <c r="D273">
        <v>7548</v>
      </c>
      <c r="Y273">
        <v>7548</v>
      </c>
    </row>
    <row r="274" spans="4:25">
      <c r="D274">
        <v>7578</v>
      </c>
      <c r="Y274">
        <v>7578</v>
      </c>
    </row>
    <row r="275" spans="4:25">
      <c r="D275">
        <v>7609</v>
      </c>
      <c r="Y275">
        <v>7609</v>
      </c>
    </row>
    <row r="276" spans="4:25">
      <c r="D276">
        <v>7639</v>
      </c>
      <c r="Y276">
        <v>7639</v>
      </c>
    </row>
    <row r="277" spans="4:25">
      <c r="D277">
        <v>7670</v>
      </c>
      <c r="Y277">
        <v>7670</v>
      </c>
    </row>
    <row r="278" spans="4:25">
      <c r="D278">
        <v>7701</v>
      </c>
      <c r="Y278">
        <v>7701</v>
      </c>
    </row>
    <row r="279" spans="4:25">
      <c r="D279">
        <v>7729</v>
      </c>
      <c r="Y279">
        <v>7729</v>
      </c>
    </row>
    <row r="280" spans="4:25">
      <c r="D280">
        <v>7760</v>
      </c>
      <c r="Y280">
        <v>7760</v>
      </c>
    </row>
    <row r="281" spans="4:25">
      <c r="D281">
        <v>7790</v>
      </c>
      <c r="Y281">
        <v>7790</v>
      </c>
    </row>
    <row r="282" spans="4:25">
      <c r="D282">
        <v>7821</v>
      </c>
      <c r="Y282">
        <v>7821</v>
      </c>
    </row>
    <row r="283" spans="4:25">
      <c r="D283">
        <v>7851</v>
      </c>
      <c r="Y283">
        <v>7851</v>
      </c>
    </row>
    <row r="284" spans="4:25">
      <c r="D284">
        <v>7882</v>
      </c>
      <c r="Y284">
        <v>7882</v>
      </c>
    </row>
    <row r="285" spans="4:25">
      <c r="D285">
        <v>7913</v>
      </c>
      <c r="Y285">
        <v>7913</v>
      </c>
    </row>
    <row r="286" spans="4:25">
      <c r="D286">
        <v>7943</v>
      </c>
      <c r="Y286">
        <v>7943</v>
      </c>
    </row>
    <row r="287" spans="4:25">
      <c r="D287">
        <v>7974</v>
      </c>
      <c r="Y287">
        <v>7974</v>
      </c>
    </row>
    <row r="288" spans="4:25">
      <c r="D288">
        <v>8004</v>
      </c>
      <c r="Y288">
        <v>8004</v>
      </c>
    </row>
    <row r="289" spans="4:25">
      <c r="D289">
        <v>8035</v>
      </c>
      <c r="Y289">
        <v>8035</v>
      </c>
    </row>
    <row r="290" spans="4:25">
      <c r="D290">
        <v>8066</v>
      </c>
      <c r="Y290">
        <v>8066</v>
      </c>
    </row>
    <row r="291" spans="4:25">
      <c r="D291">
        <v>8094</v>
      </c>
      <c r="Y291">
        <v>8094</v>
      </c>
    </row>
    <row r="292" spans="4:25">
      <c r="D292">
        <v>8125</v>
      </c>
      <c r="Y292">
        <v>8125</v>
      </c>
    </row>
    <row r="293" spans="4:25">
      <c r="D293">
        <v>8155</v>
      </c>
      <c r="Y293">
        <v>8155</v>
      </c>
    </row>
    <row r="294" spans="4:25">
      <c r="D294">
        <v>8186</v>
      </c>
      <c r="Y294">
        <v>8186</v>
      </c>
    </row>
    <row r="295" spans="4:25">
      <c r="D295">
        <v>8216</v>
      </c>
      <c r="Y295">
        <v>8216</v>
      </c>
    </row>
    <row r="296" spans="4:25">
      <c r="D296">
        <v>8247</v>
      </c>
      <c r="Y296">
        <v>8247</v>
      </c>
    </row>
    <row r="297" spans="4:25">
      <c r="D297">
        <v>8278</v>
      </c>
      <c r="Y297">
        <v>8278</v>
      </c>
    </row>
    <row r="298" spans="4:25">
      <c r="D298">
        <v>8308</v>
      </c>
      <c r="Y298">
        <v>8308</v>
      </c>
    </row>
    <row r="299" spans="4:25">
      <c r="D299">
        <v>8339</v>
      </c>
      <c r="Y299">
        <v>8339</v>
      </c>
    </row>
    <row r="300" spans="4:25">
      <c r="D300">
        <v>8369</v>
      </c>
      <c r="Y300">
        <v>8369</v>
      </c>
    </row>
    <row r="301" spans="4:25">
      <c r="D301">
        <v>8400</v>
      </c>
      <c r="Y301">
        <v>8400</v>
      </c>
    </row>
    <row r="302" spans="4:25">
      <c r="D302">
        <v>8431</v>
      </c>
      <c r="Y302">
        <v>8431</v>
      </c>
    </row>
    <row r="303" spans="4:25">
      <c r="D303">
        <v>8460</v>
      </c>
      <c r="Y303">
        <v>8460</v>
      </c>
    </row>
    <row r="304" spans="4:25">
      <c r="D304">
        <v>8491</v>
      </c>
      <c r="Y304">
        <v>8491</v>
      </c>
    </row>
    <row r="305" spans="4:25">
      <c r="D305">
        <v>8521</v>
      </c>
      <c r="Y305">
        <v>8521</v>
      </c>
    </row>
    <row r="306" spans="4:25">
      <c r="D306">
        <v>8552</v>
      </c>
      <c r="Y306">
        <v>8552</v>
      </c>
    </row>
    <row r="307" spans="4:25">
      <c r="D307">
        <v>8582</v>
      </c>
      <c r="Y307">
        <v>8582</v>
      </c>
    </row>
    <row r="308" spans="4:25">
      <c r="D308">
        <v>8613</v>
      </c>
      <c r="Y308">
        <v>8613</v>
      </c>
    </row>
    <row r="309" spans="4:25">
      <c r="D309">
        <v>8644</v>
      </c>
      <c r="Y309">
        <v>8644</v>
      </c>
    </row>
    <row r="310" spans="4:25">
      <c r="D310">
        <v>8674</v>
      </c>
      <c r="Y310">
        <v>8674</v>
      </c>
    </row>
    <row r="311" spans="4:25">
      <c r="D311">
        <v>8705</v>
      </c>
      <c r="Y311">
        <v>8705</v>
      </c>
    </row>
    <row r="312" spans="4:25">
      <c r="D312">
        <v>8735</v>
      </c>
      <c r="Y312">
        <v>8735</v>
      </c>
    </row>
    <row r="313" spans="4:25">
      <c r="D313">
        <v>8766</v>
      </c>
      <c r="Y313">
        <v>8766</v>
      </c>
    </row>
    <row r="314" spans="4:25">
      <c r="D314">
        <v>8797</v>
      </c>
      <c r="Y314">
        <v>8797</v>
      </c>
    </row>
    <row r="315" spans="4:25">
      <c r="D315">
        <v>8825</v>
      </c>
      <c r="Y315">
        <v>8825</v>
      </c>
    </row>
    <row r="316" spans="4:25">
      <c r="D316">
        <v>8856</v>
      </c>
      <c r="Y316">
        <v>8856</v>
      </c>
    </row>
    <row r="317" spans="4:25">
      <c r="D317">
        <v>8886</v>
      </c>
      <c r="Y317">
        <v>8886</v>
      </c>
    </row>
    <row r="318" spans="4:25">
      <c r="D318">
        <v>8917</v>
      </c>
      <c r="Y318">
        <v>8917</v>
      </c>
    </row>
    <row r="319" spans="4:25">
      <c r="D319">
        <v>8947</v>
      </c>
      <c r="Y319">
        <v>8947</v>
      </c>
    </row>
    <row r="320" spans="4:25">
      <c r="D320">
        <v>8978</v>
      </c>
      <c r="Y320">
        <v>8978</v>
      </c>
    </row>
    <row r="321" spans="4:25">
      <c r="D321">
        <v>9009</v>
      </c>
      <c r="Y321">
        <v>9009</v>
      </c>
    </row>
    <row r="322" spans="4:25">
      <c r="D322">
        <v>9039</v>
      </c>
      <c r="Y322">
        <v>9039</v>
      </c>
    </row>
    <row r="323" spans="4:25">
      <c r="D323">
        <v>9070</v>
      </c>
      <c r="Y323">
        <v>9070</v>
      </c>
    </row>
    <row r="324" spans="4:25">
      <c r="D324">
        <v>9100</v>
      </c>
      <c r="Y324">
        <v>9100</v>
      </c>
    </row>
    <row r="325" spans="4:25">
      <c r="D325">
        <v>9131</v>
      </c>
      <c r="Y325">
        <v>9131</v>
      </c>
    </row>
    <row r="326" spans="4:25">
      <c r="D326">
        <v>9162</v>
      </c>
      <c r="Y326">
        <v>9162</v>
      </c>
    </row>
    <row r="327" spans="4:25">
      <c r="D327">
        <v>9190</v>
      </c>
      <c r="Y327">
        <v>9190</v>
      </c>
    </row>
    <row r="328" spans="4:25">
      <c r="D328">
        <v>9221</v>
      </c>
      <c r="Y328">
        <v>9221</v>
      </c>
    </row>
    <row r="329" spans="4:25">
      <c r="D329">
        <v>9251</v>
      </c>
      <c r="Y329">
        <v>9251</v>
      </c>
    </row>
    <row r="330" spans="4:25">
      <c r="D330">
        <v>9282</v>
      </c>
      <c r="Y330">
        <v>9282</v>
      </c>
    </row>
    <row r="331" spans="4:25">
      <c r="D331">
        <v>9312</v>
      </c>
      <c r="Y331">
        <v>9312</v>
      </c>
    </row>
    <row r="332" spans="4:25">
      <c r="D332">
        <v>9343</v>
      </c>
      <c r="Y332">
        <v>9343</v>
      </c>
    </row>
    <row r="333" spans="4:25">
      <c r="D333">
        <v>9374</v>
      </c>
      <c r="Y333">
        <v>9374</v>
      </c>
    </row>
    <row r="334" spans="4:25">
      <c r="D334">
        <v>9404</v>
      </c>
      <c r="Y334">
        <v>9404</v>
      </c>
    </row>
    <row r="335" spans="4:25">
      <c r="D335">
        <v>9435</v>
      </c>
      <c r="Y335">
        <v>9435</v>
      </c>
    </row>
    <row r="336" spans="4:25">
      <c r="D336">
        <v>9465</v>
      </c>
      <c r="Y336">
        <v>9465</v>
      </c>
    </row>
    <row r="337" spans="4:25">
      <c r="D337">
        <v>9496</v>
      </c>
      <c r="Y337">
        <v>9496</v>
      </c>
    </row>
    <row r="338" spans="4:25">
      <c r="D338">
        <v>9527</v>
      </c>
      <c r="Y338">
        <v>9527</v>
      </c>
    </row>
    <row r="339" spans="4:25">
      <c r="D339">
        <v>9555</v>
      </c>
      <c r="Y339">
        <v>9555</v>
      </c>
    </row>
    <row r="340" spans="4:25">
      <c r="D340">
        <v>9586</v>
      </c>
      <c r="Y340">
        <v>9586</v>
      </c>
    </row>
    <row r="341" spans="4:25">
      <c r="D341">
        <v>9616</v>
      </c>
      <c r="Y341">
        <v>9616</v>
      </c>
    </row>
    <row r="342" spans="4:25">
      <c r="D342">
        <v>9647</v>
      </c>
      <c r="Y342">
        <v>9647</v>
      </c>
    </row>
    <row r="343" spans="4:25">
      <c r="D343">
        <v>9677</v>
      </c>
      <c r="Y343">
        <v>9677</v>
      </c>
    </row>
    <row r="344" spans="4:25">
      <c r="D344">
        <v>9708</v>
      </c>
      <c r="Y344">
        <v>9708</v>
      </c>
    </row>
    <row r="345" spans="4:25">
      <c r="D345">
        <v>9739</v>
      </c>
      <c r="Y345">
        <v>9739</v>
      </c>
    </row>
    <row r="346" spans="4:25">
      <c r="D346">
        <v>9769</v>
      </c>
      <c r="Y346">
        <v>9769</v>
      </c>
    </row>
    <row r="347" spans="4:25">
      <c r="D347">
        <v>9800</v>
      </c>
      <c r="Y347">
        <v>9800</v>
      </c>
    </row>
    <row r="348" spans="4:25">
      <c r="D348">
        <v>9830</v>
      </c>
      <c r="Y348">
        <v>9830</v>
      </c>
    </row>
    <row r="349" spans="4:25">
      <c r="D349">
        <v>9861</v>
      </c>
      <c r="Y349">
        <v>9861</v>
      </c>
    </row>
    <row r="350" spans="4:25">
      <c r="D350">
        <v>9892</v>
      </c>
      <c r="Y350">
        <v>9892</v>
      </c>
    </row>
    <row r="351" spans="4:25">
      <c r="D351">
        <v>9921</v>
      </c>
      <c r="Y351">
        <v>9921</v>
      </c>
    </row>
    <row r="352" spans="4:25">
      <c r="D352">
        <v>9952</v>
      </c>
      <c r="Y352">
        <v>9952</v>
      </c>
    </row>
    <row r="353" spans="4:25">
      <c r="D353">
        <v>9982</v>
      </c>
      <c r="Y353">
        <v>9982</v>
      </c>
    </row>
    <row r="354" spans="4:25">
      <c r="D354">
        <v>10013</v>
      </c>
      <c r="Y354">
        <v>10013</v>
      </c>
    </row>
    <row r="355" spans="4:25">
      <c r="D355">
        <v>10043</v>
      </c>
      <c r="Y355">
        <v>10043</v>
      </c>
    </row>
    <row r="356" spans="4:25">
      <c r="D356">
        <v>10074</v>
      </c>
      <c r="Y356">
        <v>10074</v>
      </c>
    </row>
    <row r="357" spans="4:25">
      <c r="D357">
        <v>10105</v>
      </c>
      <c r="Y357">
        <v>10105</v>
      </c>
    </row>
    <row r="358" spans="4:25">
      <c r="D358">
        <v>10135</v>
      </c>
      <c r="Y358">
        <v>10135</v>
      </c>
    </row>
    <row r="359" spans="4:25">
      <c r="D359">
        <v>10166</v>
      </c>
      <c r="Y359">
        <v>10166</v>
      </c>
    </row>
    <row r="360" spans="4:25">
      <c r="D360">
        <v>10196</v>
      </c>
      <c r="Y360">
        <v>10196</v>
      </c>
    </row>
    <row r="361" spans="4:25">
      <c r="D361">
        <v>10227</v>
      </c>
      <c r="Y361">
        <v>10227</v>
      </c>
    </row>
    <row r="362" spans="4:25">
      <c r="D362">
        <v>10258</v>
      </c>
      <c r="Y362">
        <v>10258</v>
      </c>
    </row>
    <row r="363" spans="4:25">
      <c r="D363">
        <v>10286</v>
      </c>
      <c r="Y363">
        <v>10286</v>
      </c>
    </row>
    <row r="364" spans="4:25">
      <c r="D364">
        <v>10317</v>
      </c>
      <c r="Y364">
        <v>10317</v>
      </c>
    </row>
    <row r="365" spans="4:25">
      <c r="D365">
        <v>10347</v>
      </c>
      <c r="Y365">
        <v>10347</v>
      </c>
    </row>
    <row r="366" spans="4:25">
      <c r="D366">
        <v>10378</v>
      </c>
      <c r="Y366">
        <v>10378</v>
      </c>
    </row>
    <row r="367" spans="4:25">
      <c r="D367">
        <v>10408</v>
      </c>
      <c r="Y367">
        <v>10408</v>
      </c>
    </row>
    <row r="368" spans="4:25">
      <c r="D368">
        <v>10439</v>
      </c>
      <c r="Y368">
        <v>10439</v>
      </c>
    </row>
    <row r="369" spans="4:25">
      <c r="D369">
        <v>10470</v>
      </c>
      <c r="Y369">
        <v>10470</v>
      </c>
    </row>
    <row r="370" spans="4:25">
      <c r="D370">
        <v>10500</v>
      </c>
      <c r="Y370">
        <v>10500</v>
      </c>
    </row>
    <row r="371" spans="4:25">
      <c r="D371">
        <v>10531</v>
      </c>
      <c r="Y371">
        <v>10531</v>
      </c>
    </row>
    <row r="372" spans="4:25">
      <c r="D372">
        <v>10561</v>
      </c>
      <c r="Y372">
        <v>10561</v>
      </c>
    </row>
    <row r="373" spans="4:25">
      <c r="D373">
        <v>10592</v>
      </c>
      <c r="Y373">
        <v>10592</v>
      </c>
    </row>
    <row r="374" spans="4:25">
      <c r="D374">
        <v>10623</v>
      </c>
      <c r="Y374">
        <v>10623</v>
      </c>
    </row>
    <row r="375" spans="4:25">
      <c r="D375">
        <v>10651</v>
      </c>
      <c r="Y375">
        <v>10651</v>
      </c>
    </row>
    <row r="376" spans="4:25">
      <c r="D376">
        <v>10682</v>
      </c>
      <c r="Y376">
        <v>10682</v>
      </c>
    </row>
    <row r="377" spans="4:25">
      <c r="D377">
        <v>10712</v>
      </c>
      <c r="Y377">
        <v>10712</v>
      </c>
    </row>
    <row r="378" spans="4:25">
      <c r="D378">
        <v>10743</v>
      </c>
      <c r="Y378">
        <v>10743</v>
      </c>
    </row>
    <row r="379" spans="4:25">
      <c r="D379">
        <v>10773</v>
      </c>
      <c r="Y379">
        <v>10773</v>
      </c>
    </row>
    <row r="380" spans="4:25">
      <c r="D380">
        <v>10804</v>
      </c>
      <c r="Y380">
        <v>10804</v>
      </c>
    </row>
    <row r="381" spans="4:25">
      <c r="D381">
        <v>10835</v>
      </c>
      <c r="Y381">
        <v>10835</v>
      </c>
    </row>
    <row r="382" spans="4:25">
      <c r="D382">
        <v>10865</v>
      </c>
      <c r="Y382">
        <v>10865</v>
      </c>
    </row>
    <row r="383" spans="4:25">
      <c r="D383">
        <v>10896</v>
      </c>
      <c r="Y383">
        <v>10896</v>
      </c>
    </row>
    <row r="384" spans="4:25">
      <c r="D384">
        <v>10926</v>
      </c>
      <c r="Y384">
        <v>10926</v>
      </c>
    </row>
    <row r="385" spans="4:25">
      <c r="D385">
        <v>10957</v>
      </c>
      <c r="Y385">
        <v>10957</v>
      </c>
    </row>
    <row r="386" spans="4:25">
      <c r="D386">
        <v>10988</v>
      </c>
      <c r="Y386">
        <v>10988</v>
      </c>
    </row>
    <row r="387" spans="4:25">
      <c r="D387">
        <v>11016</v>
      </c>
      <c r="Y387">
        <v>11016</v>
      </c>
    </row>
    <row r="388" spans="4:25">
      <c r="D388">
        <v>11047</v>
      </c>
      <c r="Y388">
        <v>11047</v>
      </c>
    </row>
    <row r="389" spans="4:25">
      <c r="D389">
        <v>11077</v>
      </c>
      <c r="Y389">
        <v>11077</v>
      </c>
    </row>
    <row r="390" spans="4:25">
      <c r="D390">
        <v>11108</v>
      </c>
      <c r="Y390">
        <v>11108</v>
      </c>
    </row>
    <row r="391" spans="4:25">
      <c r="D391">
        <v>11138</v>
      </c>
      <c r="Y391">
        <v>11138</v>
      </c>
    </row>
    <row r="392" spans="4:25">
      <c r="D392">
        <v>11169</v>
      </c>
      <c r="Y392">
        <v>11169</v>
      </c>
    </row>
    <row r="393" spans="4:25">
      <c r="D393">
        <v>11200</v>
      </c>
      <c r="Y393">
        <v>11200</v>
      </c>
    </row>
    <row r="394" spans="4:25">
      <c r="D394">
        <v>11230</v>
      </c>
      <c r="Y394">
        <v>11230</v>
      </c>
    </row>
    <row r="395" spans="4:25">
      <c r="D395">
        <v>11261</v>
      </c>
      <c r="Y395">
        <v>11261</v>
      </c>
    </row>
    <row r="396" spans="4:25">
      <c r="D396">
        <v>11291</v>
      </c>
      <c r="Y396">
        <v>11291</v>
      </c>
    </row>
    <row r="397" spans="4:25">
      <c r="D397">
        <v>11322</v>
      </c>
      <c r="Y397">
        <v>11322</v>
      </c>
    </row>
    <row r="398" spans="4:25">
      <c r="D398">
        <v>11353</v>
      </c>
      <c r="Y398">
        <v>11353</v>
      </c>
    </row>
    <row r="399" spans="4:25">
      <c r="D399">
        <v>11382</v>
      </c>
      <c r="Y399">
        <v>11382</v>
      </c>
    </row>
    <row r="400" spans="4:25">
      <c r="D400">
        <v>11413</v>
      </c>
      <c r="Y400">
        <v>11413</v>
      </c>
    </row>
    <row r="401" spans="4:25">
      <c r="D401">
        <v>11443</v>
      </c>
      <c r="Y401">
        <v>11443</v>
      </c>
    </row>
    <row r="402" spans="4:25">
      <c r="D402">
        <v>11474</v>
      </c>
      <c r="Y402">
        <v>11474</v>
      </c>
    </row>
    <row r="403" spans="4:25">
      <c r="D403">
        <v>11504</v>
      </c>
      <c r="Y403">
        <v>11504</v>
      </c>
    </row>
    <row r="404" spans="4:25">
      <c r="D404">
        <v>11535</v>
      </c>
      <c r="Y404">
        <v>11535</v>
      </c>
    </row>
    <row r="405" spans="4:25">
      <c r="D405">
        <v>11566</v>
      </c>
      <c r="Y405">
        <v>11566</v>
      </c>
    </row>
    <row r="406" spans="4:25">
      <c r="D406">
        <v>11596</v>
      </c>
      <c r="Y406">
        <v>11596</v>
      </c>
    </row>
    <row r="407" spans="4:25">
      <c r="D407">
        <v>11627</v>
      </c>
      <c r="Y407">
        <v>11627</v>
      </c>
    </row>
    <row r="408" spans="4:25">
      <c r="D408">
        <v>11657</v>
      </c>
      <c r="Y408">
        <v>11657</v>
      </c>
    </row>
    <row r="409" spans="4:25">
      <c r="D409">
        <v>11688</v>
      </c>
      <c r="Y409">
        <v>11688</v>
      </c>
    </row>
    <row r="410" spans="4:25">
      <c r="D410">
        <v>11719</v>
      </c>
      <c r="Y410">
        <v>11719</v>
      </c>
    </row>
    <row r="411" spans="4:25">
      <c r="D411">
        <v>11747</v>
      </c>
      <c r="Y411">
        <v>11747</v>
      </c>
    </row>
    <row r="412" spans="4:25">
      <c r="D412">
        <v>11778</v>
      </c>
      <c r="Y412">
        <v>11778</v>
      </c>
    </row>
    <row r="413" spans="4:25">
      <c r="D413">
        <v>11808</v>
      </c>
      <c r="Y413">
        <v>11808</v>
      </c>
    </row>
    <row r="414" spans="4:25">
      <c r="D414">
        <v>11839</v>
      </c>
      <c r="Y414">
        <v>11839</v>
      </c>
    </row>
    <row r="415" spans="4:25">
      <c r="D415">
        <v>11869</v>
      </c>
      <c r="Y415">
        <v>11869</v>
      </c>
    </row>
    <row r="416" spans="4:25">
      <c r="D416">
        <v>11900</v>
      </c>
      <c r="Y416">
        <v>11900</v>
      </c>
    </row>
    <row r="417" spans="4:25">
      <c r="D417">
        <v>11931</v>
      </c>
      <c r="Y417">
        <v>11931</v>
      </c>
    </row>
    <row r="418" spans="4:25">
      <c r="D418">
        <v>11961</v>
      </c>
      <c r="Y418">
        <v>11961</v>
      </c>
    </row>
    <row r="419" spans="4:25">
      <c r="D419">
        <v>11992</v>
      </c>
      <c r="Y419">
        <v>11992</v>
      </c>
    </row>
    <row r="420" spans="4:25">
      <c r="D420">
        <v>12022</v>
      </c>
      <c r="Y420">
        <v>12022</v>
      </c>
    </row>
    <row r="421" spans="4:25">
      <c r="D421">
        <v>12053</v>
      </c>
      <c r="Y421">
        <v>12053</v>
      </c>
    </row>
    <row r="422" spans="4:25">
      <c r="D422">
        <v>12084</v>
      </c>
      <c r="Y422">
        <v>12084</v>
      </c>
    </row>
    <row r="423" spans="4:25">
      <c r="D423">
        <v>12112</v>
      </c>
      <c r="Y423">
        <v>12112</v>
      </c>
    </row>
    <row r="424" spans="4:25">
      <c r="D424">
        <v>12143</v>
      </c>
      <c r="Y424">
        <v>12143</v>
      </c>
    </row>
    <row r="425" spans="4:25">
      <c r="D425">
        <v>12173</v>
      </c>
      <c r="Y425">
        <v>12173</v>
      </c>
    </row>
    <row r="426" spans="4:25">
      <c r="D426">
        <v>12204</v>
      </c>
      <c r="Y426">
        <v>12204</v>
      </c>
    </row>
    <row r="427" spans="4:25">
      <c r="D427">
        <v>12234</v>
      </c>
      <c r="Y427">
        <v>12234</v>
      </c>
    </row>
    <row r="428" spans="4:25">
      <c r="D428">
        <v>12265</v>
      </c>
      <c r="Y428">
        <v>12265</v>
      </c>
    </row>
    <row r="429" spans="4:25">
      <c r="D429">
        <v>12296</v>
      </c>
      <c r="Y429">
        <v>12296</v>
      </c>
    </row>
    <row r="430" spans="4:25">
      <c r="D430">
        <v>12326</v>
      </c>
      <c r="Y430">
        <v>12326</v>
      </c>
    </row>
    <row r="431" spans="4:25">
      <c r="D431">
        <v>12357</v>
      </c>
      <c r="Y431">
        <v>12357</v>
      </c>
    </row>
    <row r="432" spans="4:25">
      <c r="D432">
        <v>12387</v>
      </c>
      <c r="Y432">
        <v>12387</v>
      </c>
    </row>
    <row r="433" spans="4:25">
      <c r="D433">
        <v>12418</v>
      </c>
      <c r="Y433">
        <v>12418</v>
      </c>
    </row>
    <row r="434" spans="4:25">
      <c r="D434">
        <v>12449</v>
      </c>
      <c r="Y434">
        <v>12449</v>
      </c>
    </row>
    <row r="435" spans="4:25">
      <c r="D435">
        <v>12477</v>
      </c>
      <c r="Y435">
        <v>12477</v>
      </c>
    </row>
    <row r="436" spans="4:25">
      <c r="D436">
        <v>12508</v>
      </c>
      <c r="Y436">
        <v>12508</v>
      </c>
    </row>
    <row r="437" spans="4:25">
      <c r="D437">
        <v>12538</v>
      </c>
      <c r="Y437">
        <v>12538</v>
      </c>
    </row>
    <row r="438" spans="4:25">
      <c r="D438">
        <v>12569</v>
      </c>
      <c r="Y438">
        <v>12569</v>
      </c>
    </row>
    <row r="439" spans="4:25">
      <c r="D439">
        <v>12599</v>
      </c>
      <c r="Y439">
        <v>12599</v>
      </c>
    </row>
    <row r="440" spans="4:25">
      <c r="D440">
        <v>12630</v>
      </c>
      <c r="Y440">
        <v>12630</v>
      </c>
    </row>
    <row r="441" spans="4:25">
      <c r="D441">
        <v>12661</v>
      </c>
      <c r="Y441">
        <v>12661</v>
      </c>
    </row>
    <row r="442" spans="4:25">
      <c r="D442">
        <v>12691</v>
      </c>
      <c r="Y442">
        <v>12691</v>
      </c>
    </row>
    <row r="443" spans="4:25">
      <c r="D443">
        <v>12722</v>
      </c>
      <c r="Y443">
        <v>12722</v>
      </c>
    </row>
    <row r="444" spans="4:25">
      <c r="D444">
        <v>12752</v>
      </c>
      <c r="Y444">
        <v>12752</v>
      </c>
    </row>
    <row r="445" spans="4:25">
      <c r="D445">
        <v>12783</v>
      </c>
      <c r="Y445">
        <v>12783</v>
      </c>
    </row>
    <row r="446" spans="4:25">
      <c r="D446">
        <v>12814</v>
      </c>
      <c r="Y446">
        <v>12814</v>
      </c>
    </row>
    <row r="447" spans="4:25">
      <c r="D447">
        <v>12843</v>
      </c>
      <c r="Y447">
        <v>12843</v>
      </c>
    </row>
    <row r="448" spans="4:25">
      <c r="D448">
        <v>12874</v>
      </c>
      <c r="Y448">
        <v>12874</v>
      </c>
    </row>
    <row r="449" spans="4:25">
      <c r="D449">
        <v>12904</v>
      </c>
      <c r="Y449">
        <v>12904</v>
      </c>
    </row>
    <row r="450" spans="4:25">
      <c r="D450">
        <v>12935</v>
      </c>
      <c r="Y450">
        <v>12935</v>
      </c>
    </row>
    <row r="451" spans="4:25">
      <c r="D451">
        <v>12965</v>
      </c>
      <c r="Y451">
        <v>12965</v>
      </c>
    </row>
    <row r="452" spans="4:25">
      <c r="D452">
        <v>12996</v>
      </c>
      <c r="Y452">
        <v>12996</v>
      </c>
    </row>
    <row r="453" spans="4:25">
      <c r="D453">
        <v>13027</v>
      </c>
      <c r="Y453">
        <v>13027</v>
      </c>
    </row>
    <row r="454" spans="4:25">
      <c r="D454">
        <v>13057</v>
      </c>
      <c r="Y454">
        <v>13057</v>
      </c>
    </row>
    <row r="455" spans="4:25">
      <c r="D455">
        <v>13088</v>
      </c>
      <c r="Y455">
        <v>13088</v>
      </c>
    </row>
    <row r="456" spans="4:25">
      <c r="D456">
        <v>13118</v>
      </c>
      <c r="Y456">
        <v>13118</v>
      </c>
    </row>
    <row r="457" spans="4:25">
      <c r="D457">
        <v>13149</v>
      </c>
      <c r="Y457">
        <v>13149</v>
      </c>
    </row>
    <row r="458" spans="4:25">
      <c r="D458">
        <v>13180</v>
      </c>
      <c r="Y458">
        <v>13180</v>
      </c>
    </row>
    <row r="459" spans="4:25">
      <c r="D459">
        <v>13208</v>
      </c>
      <c r="Y459">
        <v>13208</v>
      </c>
    </row>
    <row r="460" spans="4:25">
      <c r="D460">
        <v>13239</v>
      </c>
      <c r="Y460">
        <v>13239</v>
      </c>
    </row>
    <row r="461" spans="4:25">
      <c r="D461">
        <v>13269</v>
      </c>
      <c r="Y461">
        <v>13269</v>
      </c>
    </row>
    <row r="462" spans="4:25">
      <c r="D462">
        <v>13300</v>
      </c>
      <c r="Y462">
        <v>13300</v>
      </c>
    </row>
    <row r="463" spans="4:25">
      <c r="D463">
        <v>13330</v>
      </c>
      <c r="Y463">
        <v>13330</v>
      </c>
    </row>
    <row r="464" spans="4:25">
      <c r="D464">
        <v>13361</v>
      </c>
      <c r="Y464">
        <v>13361</v>
      </c>
    </row>
    <row r="465" spans="4:25">
      <c r="D465">
        <v>13392</v>
      </c>
      <c r="Y465">
        <v>13392</v>
      </c>
    </row>
    <row r="466" spans="4:25">
      <c r="D466">
        <v>13422</v>
      </c>
      <c r="Y466">
        <v>13422</v>
      </c>
    </row>
    <row r="467" spans="4:25">
      <c r="D467">
        <v>13453</v>
      </c>
      <c r="Y467">
        <v>13453</v>
      </c>
    </row>
    <row r="468" spans="4:25">
      <c r="D468">
        <v>13483</v>
      </c>
      <c r="Y468">
        <v>13483</v>
      </c>
    </row>
    <row r="469" spans="4:25">
      <c r="D469">
        <v>13514</v>
      </c>
      <c r="Y469">
        <v>13514</v>
      </c>
    </row>
    <row r="470" spans="4:25">
      <c r="D470">
        <v>13545</v>
      </c>
      <c r="Y470">
        <v>13545</v>
      </c>
    </row>
    <row r="471" spans="4:25">
      <c r="D471">
        <v>13573</v>
      </c>
      <c r="Y471">
        <v>13573</v>
      </c>
    </row>
    <row r="472" spans="4:25">
      <c r="D472">
        <v>13604</v>
      </c>
      <c r="Y472">
        <v>13604</v>
      </c>
    </row>
    <row r="473" spans="4:25">
      <c r="D473">
        <v>13634</v>
      </c>
      <c r="Y473">
        <v>13634</v>
      </c>
    </row>
    <row r="474" spans="4:25">
      <c r="D474">
        <v>13665</v>
      </c>
      <c r="Y474">
        <v>13665</v>
      </c>
    </row>
    <row r="475" spans="4:25">
      <c r="D475">
        <v>13695</v>
      </c>
      <c r="Y475">
        <v>13695</v>
      </c>
    </row>
    <row r="476" spans="4:25">
      <c r="D476">
        <v>13726</v>
      </c>
      <c r="Y476">
        <v>13726</v>
      </c>
    </row>
    <row r="477" spans="4:25">
      <c r="D477">
        <v>13757</v>
      </c>
      <c r="Y477">
        <v>13757</v>
      </c>
    </row>
    <row r="478" spans="4:25">
      <c r="D478">
        <v>13787</v>
      </c>
      <c r="Y478">
        <v>13787</v>
      </c>
    </row>
    <row r="479" spans="4:25">
      <c r="D479">
        <v>13818</v>
      </c>
      <c r="Y479">
        <v>13818</v>
      </c>
    </row>
    <row r="480" spans="4:25">
      <c r="D480">
        <v>13848</v>
      </c>
      <c r="Y480">
        <v>13848</v>
      </c>
    </row>
    <row r="481" spans="4:25">
      <c r="D481">
        <v>13879</v>
      </c>
      <c r="Y481">
        <v>13879</v>
      </c>
    </row>
    <row r="482" spans="4:25">
      <c r="D482">
        <v>13910</v>
      </c>
      <c r="Y482">
        <v>13910</v>
      </c>
    </row>
    <row r="483" spans="4:25">
      <c r="D483">
        <v>13938</v>
      </c>
      <c r="Y483">
        <v>13938</v>
      </c>
    </row>
    <row r="484" spans="4:25">
      <c r="D484">
        <v>13969</v>
      </c>
      <c r="Y484">
        <v>13969</v>
      </c>
    </row>
    <row r="485" spans="4:25">
      <c r="D485">
        <v>13999</v>
      </c>
      <c r="Y485">
        <v>13999</v>
      </c>
    </row>
    <row r="486" spans="4:25">
      <c r="D486">
        <v>14030</v>
      </c>
      <c r="Y486">
        <v>14030</v>
      </c>
    </row>
    <row r="487" spans="4:25">
      <c r="D487">
        <v>14060</v>
      </c>
      <c r="Y487">
        <v>14060</v>
      </c>
    </row>
    <row r="488" spans="4:25">
      <c r="D488">
        <v>14091</v>
      </c>
      <c r="Y488">
        <v>14091</v>
      </c>
    </row>
    <row r="489" spans="4:25">
      <c r="D489">
        <v>14122</v>
      </c>
      <c r="Y489">
        <v>14122</v>
      </c>
    </row>
    <row r="490" spans="4:25">
      <c r="D490">
        <v>14152</v>
      </c>
      <c r="Y490">
        <v>14152</v>
      </c>
    </row>
    <row r="491" spans="4:25">
      <c r="D491">
        <v>14183</v>
      </c>
      <c r="Y491">
        <v>14183</v>
      </c>
    </row>
    <row r="492" spans="4:25">
      <c r="D492">
        <v>14213</v>
      </c>
      <c r="Y492">
        <v>14213</v>
      </c>
    </row>
    <row r="493" spans="4:25">
      <c r="D493">
        <v>14244</v>
      </c>
      <c r="Y493">
        <v>14244</v>
      </c>
    </row>
    <row r="494" spans="4:25">
      <c r="D494">
        <v>14275</v>
      </c>
      <c r="Y494">
        <v>14275</v>
      </c>
    </row>
    <row r="495" spans="4:25">
      <c r="D495">
        <v>14304</v>
      </c>
      <c r="Y495">
        <v>14304</v>
      </c>
    </row>
    <row r="496" spans="4:25">
      <c r="D496">
        <v>14335</v>
      </c>
      <c r="Y496">
        <v>14335</v>
      </c>
    </row>
    <row r="497" spans="4:25">
      <c r="D497">
        <v>14365</v>
      </c>
      <c r="Y497">
        <v>14365</v>
      </c>
    </row>
    <row r="498" spans="4:25">
      <c r="D498">
        <v>14396</v>
      </c>
      <c r="Y498">
        <v>14396</v>
      </c>
    </row>
    <row r="499" spans="4:25">
      <c r="D499">
        <v>14426</v>
      </c>
      <c r="Y499">
        <v>14426</v>
      </c>
    </row>
    <row r="500" spans="4:25">
      <c r="D500">
        <v>14457</v>
      </c>
      <c r="Y500">
        <v>14457</v>
      </c>
    </row>
    <row r="501" spans="4:25">
      <c r="D501">
        <v>14488</v>
      </c>
      <c r="Y501">
        <v>14488</v>
      </c>
    </row>
    <row r="502" spans="4:25">
      <c r="D502">
        <v>14518</v>
      </c>
      <c r="Y502">
        <v>14518</v>
      </c>
    </row>
    <row r="503" spans="4:25">
      <c r="D503">
        <v>14549</v>
      </c>
      <c r="Y503">
        <v>14549</v>
      </c>
    </row>
    <row r="504" spans="4:25">
      <c r="D504">
        <v>14579</v>
      </c>
      <c r="Y504">
        <v>14579</v>
      </c>
    </row>
    <row r="505" spans="4:25">
      <c r="D505">
        <v>14610</v>
      </c>
      <c r="Y505">
        <v>14610</v>
      </c>
    </row>
    <row r="506" spans="4:25">
      <c r="D506">
        <v>14641</v>
      </c>
      <c r="Y506">
        <v>14641</v>
      </c>
    </row>
    <row r="507" spans="4:25">
      <c r="D507">
        <v>14669</v>
      </c>
      <c r="Y507">
        <v>14669</v>
      </c>
    </row>
    <row r="508" spans="4:25">
      <c r="D508">
        <v>14700</v>
      </c>
      <c r="Y508">
        <v>14700</v>
      </c>
    </row>
    <row r="509" spans="4:25">
      <c r="D509">
        <v>14730</v>
      </c>
      <c r="Y509">
        <v>14730</v>
      </c>
    </row>
    <row r="510" spans="4:25">
      <c r="D510">
        <v>14761</v>
      </c>
      <c r="Y510">
        <v>14761</v>
      </c>
    </row>
    <row r="511" spans="4:25">
      <c r="D511">
        <v>14791</v>
      </c>
      <c r="Y511">
        <v>14791</v>
      </c>
    </row>
    <row r="512" spans="4:25">
      <c r="D512">
        <v>14822</v>
      </c>
      <c r="Y512">
        <v>14822</v>
      </c>
    </row>
    <row r="513" spans="4:25">
      <c r="D513">
        <v>14853</v>
      </c>
      <c r="Y513">
        <v>14853</v>
      </c>
    </row>
    <row r="514" spans="4:25">
      <c r="D514">
        <v>14883</v>
      </c>
      <c r="Y514">
        <v>14883</v>
      </c>
    </row>
    <row r="515" spans="4:25">
      <c r="D515">
        <v>14914</v>
      </c>
      <c r="Y515">
        <v>14914</v>
      </c>
    </row>
    <row r="516" spans="4:25">
      <c r="D516">
        <v>14944</v>
      </c>
      <c r="Y516">
        <v>14944</v>
      </c>
    </row>
    <row r="517" spans="4:25">
      <c r="D517">
        <v>14975</v>
      </c>
      <c r="Y517">
        <v>14975</v>
      </c>
    </row>
    <row r="518" spans="4:25">
      <c r="D518">
        <v>15006</v>
      </c>
      <c r="Y518">
        <v>15006</v>
      </c>
    </row>
    <row r="519" spans="4:25">
      <c r="D519">
        <v>15034</v>
      </c>
      <c r="Y519">
        <v>15034</v>
      </c>
    </row>
    <row r="520" spans="4:25">
      <c r="D520">
        <v>15065</v>
      </c>
      <c r="Y520">
        <v>15065</v>
      </c>
    </row>
    <row r="521" spans="4:25">
      <c r="D521">
        <v>15095</v>
      </c>
      <c r="Y521">
        <v>15095</v>
      </c>
    </row>
    <row r="522" spans="4:25">
      <c r="D522">
        <v>15126</v>
      </c>
      <c r="Y522">
        <v>15126</v>
      </c>
    </row>
    <row r="523" spans="4:25">
      <c r="D523">
        <v>15156</v>
      </c>
      <c r="Y523">
        <v>15156</v>
      </c>
    </row>
    <row r="524" spans="4:25">
      <c r="D524">
        <v>15187</v>
      </c>
      <c r="Y524">
        <v>15187</v>
      </c>
    </row>
    <row r="525" spans="4:25">
      <c r="D525">
        <v>15218</v>
      </c>
      <c r="Y525">
        <v>15218</v>
      </c>
    </row>
    <row r="526" spans="4:25">
      <c r="D526">
        <v>15248</v>
      </c>
      <c r="Y526">
        <v>15248</v>
      </c>
    </row>
    <row r="527" spans="4:25">
      <c r="D527">
        <v>15279</v>
      </c>
      <c r="Y527">
        <v>15279</v>
      </c>
    </row>
    <row r="528" spans="4:25">
      <c r="D528">
        <v>15309</v>
      </c>
      <c r="Y528">
        <v>15309</v>
      </c>
    </row>
    <row r="529" spans="4:25">
      <c r="D529">
        <v>15340</v>
      </c>
      <c r="Y529">
        <v>15340</v>
      </c>
    </row>
    <row r="530" spans="4:25">
      <c r="D530">
        <v>15371</v>
      </c>
      <c r="Y530">
        <v>15371</v>
      </c>
    </row>
    <row r="531" spans="4:25">
      <c r="D531">
        <v>15399</v>
      </c>
      <c r="Y531">
        <v>15399</v>
      </c>
    </row>
    <row r="532" spans="4:25">
      <c r="D532">
        <v>15430</v>
      </c>
      <c r="Y532">
        <v>15430</v>
      </c>
    </row>
    <row r="533" spans="4:25">
      <c r="D533">
        <v>15460</v>
      </c>
      <c r="Y533">
        <v>15460</v>
      </c>
    </row>
    <row r="534" spans="4:25">
      <c r="D534">
        <v>15491</v>
      </c>
      <c r="Y534">
        <v>15491</v>
      </c>
    </row>
    <row r="535" spans="4:25">
      <c r="D535">
        <v>15521</v>
      </c>
      <c r="Y535">
        <v>15521</v>
      </c>
    </row>
    <row r="536" spans="4:25">
      <c r="D536">
        <v>15552</v>
      </c>
      <c r="Y536">
        <v>15552</v>
      </c>
    </row>
    <row r="537" spans="4:25">
      <c r="D537">
        <v>15583</v>
      </c>
      <c r="Y537">
        <v>15583</v>
      </c>
    </row>
    <row r="538" spans="4:25">
      <c r="D538">
        <v>15613</v>
      </c>
      <c r="Y538">
        <v>15613</v>
      </c>
    </row>
    <row r="539" spans="4:25">
      <c r="D539">
        <v>15644</v>
      </c>
      <c r="Y539">
        <v>15644</v>
      </c>
    </row>
    <row r="540" spans="4:25">
      <c r="D540">
        <v>15674</v>
      </c>
      <c r="Y540">
        <v>15674</v>
      </c>
    </row>
    <row r="541" spans="4:25">
      <c r="D541">
        <v>15705</v>
      </c>
      <c r="Y541">
        <v>15705</v>
      </c>
    </row>
    <row r="542" spans="4:25">
      <c r="D542">
        <v>15736</v>
      </c>
      <c r="Y542">
        <v>15736</v>
      </c>
    </row>
    <row r="543" spans="4:25">
      <c r="D543">
        <v>15765</v>
      </c>
      <c r="Y543">
        <v>15765</v>
      </c>
    </row>
    <row r="544" spans="4:25">
      <c r="D544">
        <v>15796</v>
      </c>
      <c r="Y544">
        <v>15796</v>
      </c>
    </row>
    <row r="545" spans="4:25">
      <c r="D545">
        <v>15826</v>
      </c>
      <c r="Y545">
        <v>15826</v>
      </c>
    </row>
    <row r="546" spans="4:25">
      <c r="D546">
        <v>15857</v>
      </c>
      <c r="Y546">
        <v>15857</v>
      </c>
    </row>
    <row r="547" spans="4:25">
      <c r="D547">
        <v>15887</v>
      </c>
      <c r="Y547">
        <v>15887</v>
      </c>
    </row>
    <row r="548" spans="4:25">
      <c r="D548">
        <v>15918</v>
      </c>
      <c r="Y548">
        <v>15918</v>
      </c>
    </row>
    <row r="549" spans="4:25">
      <c r="D549">
        <v>15949</v>
      </c>
      <c r="Y549">
        <v>15949</v>
      </c>
    </row>
    <row r="550" spans="4:25">
      <c r="D550">
        <v>15979</v>
      </c>
      <c r="Y550">
        <v>15979</v>
      </c>
    </row>
    <row r="551" spans="4:25">
      <c r="D551">
        <v>16010</v>
      </c>
      <c r="Y551">
        <v>16010</v>
      </c>
    </row>
    <row r="552" spans="4:25">
      <c r="D552">
        <v>16040</v>
      </c>
      <c r="Y552">
        <v>16040</v>
      </c>
    </row>
    <row r="553" spans="4:25">
      <c r="D553">
        <v>16071</v>
      </c>
      <c r="Y553">
        <v>16071</v>
      </c>
    </row>
    <row r="554" spans="4:25">
      <c r="D554">
        <v>16102</v>
      </c>
      <c r="Y554">
        <v>16102</v>
      </c>
    </row>
    <row r="555" spans="4:25">
      <c r="D555">
        <v>16130</v>
      </c>
      <c r="Y555">
        <v>16130</v>
      </c>
    </row>
    <row r="556" spans="4:25">
      <c r="D556">
        <v>16161</v>
      </c>
      <c r="Y556">
        <v>16161</v>
      </c>
    </row>
    <row r="557" spans="4:25">
      <c r="D557">
        <v>16191</v>
      </c>
      <c r="Y557">
        <v>16191</v>
      </c>
    </row>
    <row r="558" spans="4:25">
      <c r="D558">
        <v>16222</v>
      </c>
      <c r="Y558">
        <v>16222</v>
      </c>
    </row>
    <row r="559" spans="4:25">
      <c r="D559">
        <v>16252</v>
      </c>
      <c r="Y559">
        <v>16252</v>
      </c>
    </row>
    <row r="560" spans="4:25">
      <c r="D560">
        <v>16283</v>
      </c>
      <c r="Y560">
        <v>16283</v>
      </c>
    </row>
    <row r="561" spans="4:25">
      <c r="D561">
        <v>16314</v>
      </c>
      <c r="Y561">
        <v>16314</v>
      </c>
    </row>
    <row r="562" spans="4:25">
      <c r="D562">
        <v>16344</v>
      </c>
      <c r="Y562">
        <v>16344</v>
      </c>
    </row>
    <row r="563" spans="4:25">
      <c r="D563">
        <v>16375</v>
      </c>
      <c r="Y563">
        <v>16375</v>
      </c>
    </row>
    <row r="564" spans="4:25">
      <c r="D564">
        <v>16405</v>
      </c>
      <c r="Y564">
        <v>16405</v>
      </c>
    </row>
    <row r="565" spans="4:25">
      <c r="D565">
        <v>16436</v>
      </c>
      <c r="Y565">
        <v>16436</v>
      </c>
    </row>
    <row r="566" spans="4:25">
      <c r="D566">
        <v>16467</v>
      </c>
      <c r="Y566">
        <v>16467</v>
      </c>
    </row>
    <row r="567" spans="4:25">
      <c r="D567">
        <v>16495</v>
      </c>
      <c r="Y567">
        <v>16495</v>
      </c>
    </row>
    <row r="568" spans="4:25">
      <c r="D568">
        <v>16526</v>
      </c>
      <c r="Y568">
        <v>16526</v>
      </c>
    </row>
    <row r="569" spans="4:25">
      <c r="D569">
        <v>16556</v>
      </c>
      <c r="Y569">
        <v>16556</v>
      </c>
    </row>
    <row r="570" spans="4:25">
      <c r="D570">
        <v>16587</v>
      </c>
      <c r="Y570">
        <v>16587</v>
      </c>
    </row>
    <row r="571" spans="4:25">
      <c r="D571">
        <v>16617</v>
      </c>
      <c r="Y571">
        <v>16617</v>
      </c>
    </row>
    <row r="572" spans="4:25">
      <c r="D572">
        <v>16648</v>
      </c>
      <c r="Y572">
        <v>16648</v>
      </c>
    </row>
    <row r="573" spans="4:25">
      <c r="D573">
        <v>16679</v>
      </c>
      <c r="Y573">
        <v>16679</v>
      </c>
    </row>
    <row r="574" spans="4:25">
      <c r="D574">
        <v>16709</v>
      </c>
      <c r="Y574">
        <v>16709</v>
      </c>
    </row>
    <row r="575" spans="4:25">
      <c r="D575">
        <v>16740</v>
      </c>
      <c r="Y575">
        <v>16740</v>
      </c>
    </row>
    <row r="576" spans="4:25">
      <c r="D576">
        <v>16770</v>
      </c>
      <c r="Y576">
        <v>16770</v>
      </c>
    </row>
    <row r="577" spans="4:25">
      <c r="D577">
        <v>16801</v>
      </c>
      <c r="Y577">
        <v>16801</v>
      </c>
    </row>
    <row r="578" spans="4:25">
      <c r="D578">
        <v>16832</v>
      </c>
      <c r="Y578">
        <v>16832</v>
      </c>
    </row>
    <row r="579" spans="4:25">
      <c r="D579">
        <v>16860</v>
      </c>
      <c r="Y579">
        <v>16860</v>
      </c>
    </row>
    <row r="580" spans="4:25">
      <c r="D580">
        <v>16891</v>
      </c>
      <c r="Y580">
        <v>16891</v>
      </c>
    </row>
    <row r="581" spans="4:25">
      <c r="D581">
        <v>16921</v>
      </c>
      <c r="Y581">
        <v>16921</v>
      </c>
    </row>
    <row r="582" spans="4:25">
      <c r="D582">
        <v>16952</v>
      </c>
      <c r="Y582">
        <v>16952</v>
      </c>
    </row>
    <row r="583" spans="4:25">
      <c r="D583">
        <v>16982</v>
      </c>
      <c r="Y583">
        <v>16982</v>
      </c>
    </row>
    <row r="584" spans="4:25">
      <c r="D584">
        <v>17013</v>
      </c>
      <c r="Y584">
        <v>17013</v>
      </c>
    </row>
    <row r="585" spans="4:25">
      <c r="D585">
        <v>17044</v>
      </c>
      <c r="Y585">
        <v>17044</v>
      </c>
    </row>
    <row r="586" spans="4:25">
      <c r="D586">
        <v>17074</v>
      </c>
      <c r="Y586">
        <v>17074</v>
      </c>
    </row>
    <row r="587" spans="4:25">
      <c r="D587">
        <v>17105</v>
      </c>
      <c r="Y587">
        <v>17105</v>
      </c>
    </row>
    <row r="588" spans="4:25">
      <c r="D588">
        <v>17135</v>
      </c>
      <c r="Y588">
        <v>17135</v>
      </c>
    </row>
    <row r="589" spans="4:25">
      <c r="D589">
        <v>17166</v>
      </c>
      <c r="Y589">
        <v>17166</v>
      </c>
    </row>
    <row r="590" spans="4:25">
      <c r="D590">
        <v>17197</v>
      </c>
      <c r="Y590">
        <v>17197</v>
      </c>
    </row>
    <row r="591" spans="4:25">
      <c r="D591">
        <v>17226</v>
      </c>
      <c r="Y591">
        <v>17226</v>
      </c>
    </row>
    <row r="592" spans="4:25">
      <c r="D592">
        <v>17257</v>
      </c>
      <c r="Y592">
        <v>17257</v>
      </c>
    </row>
    <row r="593" spans="4:25">
      <c r="D593">
        <v>17287</v>
      </c>
      <c r="Y593">
        <v>17287</v>
      </c>
    </row>
    <row r="594" spans="4:25">
      <c r="D594">
        <v>17318</v>
      </c>
      <c r="Y594">
        <v>17318</v>
      </c>
    </row>
    <row r="595" spans="4:25">
      <c r="D595">
        <v>17348</v>
      </c>
      <c r="Y595">
        <v>17348</v>
      </c>
    </row>
    <row r="596" spans="4:25">
      <c r="D596">
        <v>17379</v>
      </c>
      <c r="Y596">
        <v>17379</v>
      </c>
    </row>
    <row r="597" spans="4:25">
      <c r="D597">
        <v>17410</v>
      </c>
      <c r="Y597">
        <v>17410</v>
      </c>
    </row>
    <row r="598" spans="4:25">
      <c r="D598">
        <v>17440</v>
      </c>
      <c r="Y598">
        <v>17440</v>
      </c>
    </row>
    <row r="599" spans="4:25">
      <c r="D599">
        <v>17471</v>
      </c>
      <c r="Y599">
        <v>17471</v>
      </c>
    </row>
    <row r="600" spans="4:25">
      <c r="D600">
        <v>17501</v>
      </c>
      <c r="Y600">
        <v>17501</v>
      </c>
    </row>
    <row r="601" spans="4:25">
      <c r="D601">
        <v>17532</v>
      </c>
      <c r="Y601">
        <v>17532</v>
      </c>
    </row>
    <row r="602" spans="4:25">
      <c r="D602">
        <v>17563</v>
      </c>
      <c r="Y602">
        <v>17563</v>
      </c>
    </row>
    <row r="603" spans="4:25">
      <c r="D603">
        <v>17591</v>
      </c>
      <c r="Y603">
        <v>17591</v>
      </c>
    </row>
    <row r="604" spans="4:25">
      <c r="D604">
        <v>17622</v>
      </c>
      <c r="Y604">
        <v>17622</v>
      </c>
    </row>
    <row r="605" spans="4:25">
      <c r="D605">
        <v>17652</v>
      </c>
      <c r="Y605">
        <v>17652</v>
      </c>
    </row>
    <row r="606" spans="4:25">
      <c r="D606">
        <v>17683</v>
      </c>
      <c r="Y606">
        <v>17683</v>
      </c>
    </row>
    <row r="607" spans="4:25">
      <c r="D607">
        <v>17713</v>
      </c>
      <c r="Y607">
        <v>17713</v>
      </c>
    </row>
    <row r="608" spans="4:25">
      <c r="D608">
        <v>17744</v>
      </c>
      <c r="Y608">
        <v>17744</v>
      </c>
    </row>
    <row r="609" spans="4:25">
      <c r="D609">
        <v>17775</v>
      </c>
      <c r="Y609">
        <v>17775</v>
      </c>
    </row>
    <row r="610" spans="4:25">
      <c r="D610">
        <v>17805</v>
      </c>
      <c r="Y610">
        <v>17805</v>
      </c>
    </row>
    <row r="611" spans="4:25">
      <c r="D611">
        <v>17836</v>
      </c>
      <c r="Y611">
        <v>17836</v>
      </c>
    </row>
    <row r="612" spans="4:25">
      <c r="D612">
        <v>17866</v>
      </c>
      <c r="Y612">
        <v>17866</v>
      </c>
    </row>
    <row r="613" spans="4:25">
      <c r="D613">
        <v>17897</v>
      </c>
      <c r="Y613">
        <v>17897</v>
      </c>
    </row>
    <row r="614" spans="4:25">
      <c r="D614">
        <v>17928</v>
      </c>
      <c r="Y614">
        <v>17928</v>
      </c>
    </row>
    <row r="615" spans="4:25">
      <c r="D615">
        <v>17956</v>
      </c>
      <c r="Y615">
        <v>17956</v>
      </c>
    </row>
    <row r="616" spans="4:25">
      <c r="D616">
        <v>17987</v>
      </c>
      <c r="Y616">
        <v>17987</v>
      </c>
    </row>
    <row r="617" spans="4:25">
      <c r="D617">
        <v>18017</v>
      </c>
      <c r="Y617">
        <v>18017</v>
      </c>
    </row>
    <row r="618" spans="4:25">
      <c r="D618">
        <v>18048</v>
      </c>
      <c r="Y618">
        <v>18048</v>
      </c>
    </row>
    <row r="619" spans="4:25">
      <c r="D619">
        <v>18078</v>
      </c>
      <c r="Y619">
        <v>18078</v>
      </c>
    </row>
    <row r="620" spans="4:25">
      <c r="D620">
        <v>18109</v>
      </c>
      <c r="Y620">
        <v>18109</v>
      </c>
    </row>
    <row r="621" spans="4:25">
      <c r="D621">
        <v>18140</v>
      </c>
      <c r="Y621">
        <v>18140</v>
      </c>
    </row>
    <row r="622" spans="4:25">
      <c r="D622">
        <v>18170</v>
      </c>
      <c r="Y622">
        <v>18170</v>
      </c>
    </row>
    <row r="623" spans="4:25">
      <c r="D623">
        <v>18201</v>
      </c>
      <c r="Y623">
        <v>18201</v>
      </c>
    </row>
    <row r="624" spans="4:25">
      <c r="D624">
        <v>18231</v>
      </c>
      <c r="Y624">
        <v>18231</v>
      </c>
    </row>
    <row r="625" spans="4:25">
      <c r="D625">
        <v>18262</v>
      </c>
      <c r="Y625">
        <v>18262</v>
      </c>
    </row>
    <row r="626" spans="4:25">
      <c r="D626">
        <v>18293</v>
      </c>
      <c r="Y626">
        <v>18293</v>
      </c>
    </row>
    <row r="627" spans="4:25">
      <c r="D627">
        <v>18321</v>
      </c>
      <c r="Y627">
        <v>18321</v>
      </c>
    </row>
    <row r="628" spans="4:25">
      <c r="D628">
        <v>18352</v>
      </c>
      <c r="Y628">
        <v>18352</v>
      </c>
    </row>
    <row r="629" spans="4:25">
      <c r="D629">
        <v>18382</v>
      </c>
      <c r="Y629">
        <v>18382</v>
      </c>
    </row>
    <row r="630" spans="4:25">
      <c r="D630">
        <v>18413</v>
      </c>
      <c r="Y630">
        <v>18413</v>
      </c>
    </row>
    <row r="631" spans="4:25">
      <c r="D631">
        <v>18443</v>
      </c>
      <c r="Y631">
        <v>18443</v>
      </c>
    </row>
    <row r="632" spans="4:25">
      <c r="D632">
        <v>18474</v>
      </c>
      <c r="Y632">
        <v>18474</v>
      </c>
    </row>
    <row r="633" spans="4:25">
      <c r="D633">
        <v>18505</v>
      </c>
      <c r="Y633">
        <v>18505</v>
      </c>
    </row>
    <row r="634" spans="4:25">
      <c r="D634">
        <v>18535</v>
      </c>
      <c r="Y634">
        <v>18535</v>
      </c>
    </row>
    <row r="635" spans="4:25">
      <c r="D635">
        <v>18566</v>
      </c>
      <c r="Y635">
        <v>18566</v>
      </c>
    </row>
    <row r="636" spans="4:25">
      <c r="D636">
        <v>18596</v>
      </c>
      <c r="Y636">
        <v>18596</v>
      </c>
    </row>
    <row r="637" spans="4:25">
      <c r="D637">
        <v>18627</v>
      </c>
      <c r="Y637">
        <v>18627</v>
      </c>
    </row>
    <row r="638" spans="4:25">
      <c r="D638">
        <v>18658</v>
      </c>
      <c r="Y638">
        <v>18658</v>
      </c>
    </row>
    <row r="639" spans="4:25">
      <c r="D639">
        <v>18687</v>
      </c>
      <c r="Y639">
        <v>18687</v>
      </c>
    </row>
    <row r="640" spans="4:25">
      <c r="D640">
        <v>18718</v>
      </c>
      <c r="Y640">
        <v>18718</v>
      </c>
    </row>
    <row r="641" spans="4:25">
      <c r="D641">
        <v>18748</v>
      </c>
      <c r="Y641">
        <v>18748</v>
      </c>
    </row>
    <row r="642" spans="4:25">
      <c r="D642">
        <v>18779</v>
      </c>
      <c r="Y642">
        <v>18779</v>
      </c>
    </row>
    <row r="643" spans="4:25">
      <c r="D643">
        <v>18809</v>
      </c>
      <c r="Y643">
        <v>18809</v>
      </c>
    </row>
    <row r="644" spans="4:25">
      <c r="D644">
        <v>18840</v>
      </c>
      <c r="Y644">
        <v>18840</v>
      </c>
    </row>
    <row r="645" spans="4:25">
      <c r="D645">
        <v>18871</v>
      </c>
      <c r="Y645">
        <v>18871</v>
      </c>
    </row>
    <row r="646" spans="4:25">
      <c r="D646">
        <v>18901</v>
      </c>
      <c r="Y646">
        <v>18901</v>
      </c>
    </row>
    <row r="647" spans="4:25">
      <c r="D647">
        <v>18932</v>
      </c>
      <c r="Y647">
        <v>18932</v>
      </c>
    </row>
    <row r="648" spans="4:25">
      <c r="D648">
        <v>18962</v>
      </c>
      <c r="Y648">
        <v>18962</v>
      </c>
    </row>
    <row r="649" spans="4:25">
      <c r="D649">
        <v>18993</v>
      </c>
      <c r="Y649">
        <v>18993</v>
      </c>
    </row>
    <row r="650" spans="4:25">
      <c r="D650">
        <v>19024</v>
      </c>
      <c r="Y650">
        <v>19024</v>
      </c>
    </row>
    <row r="651" spans="4:25">
      <c r="D651">
        <v>19052</v>
      </c>
      <c r="Y651">
        <v>19052</v>
      </c>
    </row>
    <row r="652" spans="4:25">
      <c r="D652">
        <v>19083</v>
      </c>
      <c r="Y652">
        <v>19083</v>
      </c>
    </row>
    <row r="653" spans="4:25">
      <c r="D653">
        <v>19113</v>
      </c>
      <c r="Y653">
        <v>19113</v>
      </c>
    </row>
    <row r="654" spans="4:25">
      <c r="D654">
        <v>19144</v>
      </c>
      <c r="Y654">
        <v>19144</v>
      </c>
    </row>
    <row r="655" spans="4:25">
      <c r="D655">
        <v>19174</v>
      </c>
      <c r="Y655">
        <v>19174</v>
      </c>
    </row>
    <row r="656" spans="4:25">
      <c r="D656">
        <v>19205</v>
      </c>
      <c r="Y656">
        <v>19205</v>
      </c>
    </row>
    <row r="657" spans="4:25">
      <c r="D657">
        <v>19236</v>
      </c>
      <c r="Y657">
        <v>19236</v>
      </c>
    </row>
    <row r="658" spans="4:25">
      <c r="D658">
        <v>19266</v>
      </c>
      <c r="Y658">
        <v>19266</v>
      </c>
    </row>
    <row r="659" spans="4:25">
      <c r="D659">
        <v>19297</v>
      </c>
      <c r="Y659">
        <v>19297</v>
      </c>
    </row>
    <row r="660" spans="4:25">
      <c r="D660">
        <v>19327</v>
      </c>
      <c r="Y660">
        <v>19327</v>
      </c>
    </row>
    <row r="661" spans="4:25">
      <c r="D661">
        <v>19358</v>
      </c>
      <c r="Y661">
        <v>19358</v>
      </c>
    </row>
    <row r="662" spans="4:25">
      <c r="D662">
        <v>19389</v>
      </c>
      <c r="Y662">
        <v>19389</v>
      </c>
    </row>
    <row r="663" spans="4:25">
      <c r="D663">
        <v>19417</v>
      </c>
      <c r="Y663">
        <v>19417</v>
      </c>
    </row>
    <row r="664" spans="4:25">
      <c r="D664">
        <v>19448</v>
      </c>
      <c r="Y664">
        <v>19448</v>
      </c>
    </row>
    <row r="665" spans="4:25">
      <c r="D665">
        <v>19478</v>
      </c>
      <c r="Y665">
        <v>19478</v>
      </c>
    </row>
    <row r="666" spans="4:25">
      <c r="D666">
        <v>19509</v>
      </c>
      <c r="Y666">
        <v>19509</v>
      </c>
    </row>
    <row r="667" spans="4:25">
      <c r="D667">
        <v>19539</v>
      </c>
      <c r="Y667">
        <v>19539</v>
      </c>
    </row>
    <row r="668" spans="4:25">
      <c r="D668">
        <v>19570</v>
      </c>
      <c r="Y668">
        <v>19570</v>
      </c>
    </row>
    <row r="669" spans="4:25">
      <c r="D669">
        <v>19601</v>
      </c>
      <c r="Y669">
        <v>19601</v>
      </c>
    </row>
    <row r="670" spans="4:25">
      <c r="D670">
        <v>19631</v>
      </c>
      <c r="Y670">
        <v>19631</v>
      </c>
    </row>
    <row r="671" spans="4:25">
      <c r="D671">
        <v>19662</v>
      </c>
      <c r="Y671">
        <v>19662</v>
      </c>
    </row>
    <row r="672" spans="4:25">
      <c r="D672">
        <v>19692</v>
      </c>
      <c r="Y672">
        <v>19692</v>
      </c>
    </row>
    <row r="673" spans="4:25">
      <c r="D673">
        <v>19723</v>
      </c>
      <c r="Y673">
        <v>19723</v>
      </c>
    </row>
    <row r="674" spans="4:25">
      <c r="D674">
        <v>19754</v>
      </c>
      <c r="Y674">
        <v>19754</v>
      </c>
    </row>
    <row r="675" spans="4:25">
      <c r="D675">
        <v>19782</v>
      </c>
      <c r="Y675">
        <v>19782</v>
      </c>
    </row>
    <row r="676" spans="4:25">
      <c r="D676">
        <v>19813</v>
      </c>
      <c r="Y676">
        <v>19813</v>
      </c>
    </row>
    <row r="677" spans="4:25">
      <c r="D677">
        <v>19843</v>
      </c>
      <c r="Y677">
        <v>19843</v>
      </c>
    </row>
    <row r="678" spans="4:25">
      <c r="D678">
        <v>19874</v>
      </c>
      <c r="Y678">
        <v>19874</v>
      </c>
    </row>
    <row r="679" spans="4:25">
      <c r="D679">
        <v>19904</v>
      </c>
      <c r="Y679">
        <v>19904</v>
      </c>
    </row>
    <row r="680" spans="4:25">
      <c r="D680">
        <v>19935</v>
      </c>
      <c r="Y680">
        <v>19935</v>
      </c>
    </row>
    <row r="681" spans="4:25">
      <c r="D681">
        <v>19966</v>
      </c>
      <c r="Y681">
        <v>19966</v>
      </c>
    </row>
    <row r="682" spans="4:25">
      <c r="D682">
        <v>19996</v>
      </c>
      <c r="Y682">
        <v>19996</v>
      </c>
    </row>
    <row r="683" spans="4:25">
      <c r="D683">
        <v>20027</v>
      </c>
      <c r="Y683">
        <v>20027</v>
      </c>
    </row>
    <row r="684" spans="4:25">
      <c r="D684">
        <v>20057</v>
      </c>
      <c r="Y684">
        <v>20057</v>
      </c>
    </row>
    <row r="685" spans="4:25">
      <c r="D685">
        <v>20088</v>
      </c>
      <c r="Y685">
        <v>20088</v>
      </c>
    </row>
    <row r="686" spans="4:25">
      <c r="D686">
        <v>20119</v>
      </c>
      <c r="Y686">
        <v>20119</v>
      </c>
    </row>
    <row r="687" spans="4:25">
      <c r="D687">
        <v>20148</v>
      </c>
      <c r="Y687">
        <v>20148</v>
      </c>
    </row>
    <row r="688" spans="4:25">
      <c r="D688">
        <v>20179</v>
      </c>
      <c r="Y688">
        <v>20179</v>
      </c>
    </row>
    <row r="689" spans="4:25">
      <c r="D689">
        <v>20209</v>
      </c>
      <c r="Y689">
        <v>20209</v>
      </c>
    </row>
    <row r="690" spans="4:25">
      <c r="D690">
        <v>20240</v>
      </c>
      <c r="Y690">
        <v>20240</v>
      </c>
    </row>
    <row r="691" spans="4:25">
      <c r="D691">
        <v>20270</v>
      </c>
      <c r="Y691">
        <v>20270</v>
      </c>
    </row>
    <row r="692" spans="4:25">
      <c r="D692">
        <v>20301</v>
      </c>
      <c r="Y692">
        <v>20301</v>
      </c>
    </row>
    <row r="693" spans="4:25">
      <c r="D693">
        <v>20332</v>
      </c>
      <c r="Y693">
        <v>20332</v>
      </c>
    </row>
    <row r="694" spans="4:25">
      <c r="D694">
        <v>20362</v>
      </c>
      <c r="Y694">
        <v>20362</v>
      </c>
    </row>
    <row r="695" spans="4:25">
      <c r="D695">
        <v>20393</v>
      </c>
      <c r="Y695">
        <v>20393</v>
      </c>
    </row>
    <row r="696" spans="4:25">
      <c r="D696">
        <v>20423</v>
      </c>
      <c r="Y696">
        <v>20423</v>
      </c>
    </row>
    <row r="697" spans="4:25">
      <c r="D697">
        <v>20454</v>
      </c>
      <c r="Y697">
        <v>20454</v>
      </c>
    </row>
    <row r="698" spans="4:25">
      <c r="D698">
        <v>20485</v>
      </c>
      <c r="Y698">
        <v>20485</v>
      </c>
    </row>
    <row r="699" spans="4:25">
      <c r="D699">
        <v>20513</v>
      </c>
      <c r="Y699">
        <v>20513</v>
      </c>
    </row>
    <row r="700" spans="4:25">
      <c r="D700">
        <v>20544</v>
      </c>
      <c r="Y700">
        <v>20544</v>
      </c>
    </row>
    <row r="701" spans="4:25">
      <c r="D701">
        <v>20574</v>
      </c>
      <c r="Y701">
        <v>20574</v>
      </c>
    </row>
    <row r="702" spans="4:25">
      <c r="D702">
        <v>20605</v>
      </c>
      <c r="Y702">
        <v>20605</v>
      </c>
    </row>
    <row r="703" spans="4:25">
      <c r="D703">
        <v>20635</v>
      </c>
      <c r="Y703">
        <v>20635</v>
      </c>
    </row>
    <row r="704" spans="4:25">
      <c r="D704">
        <v>20666</v>
      </c>
      <c r="Y704">
        <v>20666</v>
      </c>
    </row>
    <row r="705" spans="4:25">
      <c r="D705">
        <v>20697</v>
      </c>
      <c r="Y705">
        <v>20697</v>
      </c>
    </row>
    <row r="706" spans="4:25">
      <c r="D706">
        <v>20727</v>
      </c>
      <c r="Y706">
        <v>20727</v>
      </c>
    </row>
    <row r="707" spans="4:25">
      <c r="D707">
        <v>20758</v>
      </c>
      <c r="Y707">
        <v>20758</v>
      </c>
    </row>
    <row r="708" spans="4:25">
      <c r="D708">
        <v>20788</v>
      </c>
      <c r="Y708">
        <v>20788</v>
      </c>
    </row>
    <row r="709" spans="4:25">
      <c r="D709">
        <v>20819</v>
      </c>
      <c r="Y709">
        <v>20819</v>
      </c>
    </row>
    <row r="710" spans="4:25">
      <c r="D710">
        <v>20850</v>
      </c>
      <c r="Y710">
        <v>20850</v>
      </c>
    </row>
    <row r="711" spans="4:25">
      <c r="D711">
        <v>20878</v>
      </c>
      <c r="Y711">
        <v>20878</v>
      </c>
    </row>
    <row r="712" spans="4:25">
      <c r="D712">
        <v>20909</v>
      </c>
      <c r="Y712">
        <v>20909</v>
      </c>
    </row>
    <row r="713" spans="4:25">
      <c r="D713">
        <v>20939</v>
      </c>
      <c r="Y713">
        <v>20939</v>
      </c>
    </row>
    <row r="714" spans="4:25">
      <c r="D714">
        <v>20970</v>
      </c>
      <c r="Y714">
        <v>20970</v>
      </c>
    </row>
    <row r="715" spans="4:25">
      <c r="D715">
        <v>21000</v>
      </c>
      <c r="Y715">
        <v>21000</v>
      </c>
    </row>
    <row r="716" spans="4:25">
      <c r="D716">
        <v>21031</v>
      </c>
      <c r="Y716">
        <v>21031</v>
      </c>
    </row>
    <row r="717" spans="4:25">
      <c r="D717">
        <v>21062</v>
      </c>
      <c r="Y717">
        <v>21062</v>
      </c>
    </row>
    <row r="718" spans="4:25">
      <c r="D718">
        <v>21092</v>
      </c>
      <c r="Y718">
        <v>21092</v>
      </c>
    </row>
    <row r="719" spans="4:25">
      <c r="D719">
        <v>21123</v>
      </c>
      <c r="Y719">
        <v>21123</v>
      </c>
    </row>
    <row r="720" spans="4:25">
      <c r="D720">
        <v>21153</v>
      </c>
      <c r="Y720">
        <v>21153</v>
      </c>
    </row>
    <row r="721" spans="4:25">
      <c r="D721">
        <v>21184</v>
      </c>
      <c r="Y721">
        <v>21184</v>
      </c>
    </row>
    <row r="722" spans="4:25">
      <c r="D722">
        <v>21215</v>
      </c>
      <c r="Y722">
        <v>21215</v>
      </c>
    </row>
    <row r="723" spans="4:25">
      <c r="D723">
        <v>21243</v>
      </c>
      <c r="Y723">
        <v>21243</v>
      </c>
    </row>
    <row r="724" spans="4:25">
      <c r="D724">
        <v>21274</v>
      </c>
      <c r="Y724">
        <v>21274</v>
      </c>
    </row>
    <row r="725" spans="4:25">
      <c r="D725">
        <v>21304</v>
      </c>
      <c r="Y725">
        <v>21304</v>
      </c>
    </row>
    <row r="726" spans="4:25">
      <c r="D726">
        <v>21335</v>
      </c>
      <c r="Y726">
        <v>21335</v>
      </c>
    </row>
    <row r="727" spans="4:25">
      <c r="D727">
        <v>21365</v>
      </c>
      <c r="Y727">
        <v>21365</v>
      </c>
    </row>
    <row r="728" spans="4:25">
      <c r="D728">
        <v>21396</v>
      </c>
      <c r="Y728">
        <v>21396</v>
      </c>
    </row>
    <row r="729" spans="4:25">
      <c r="D729">
        <v>21427</v>
      </c>
      <c r="Y729">
        <v>21427</v>
      </c>
    </row>
    <row r="730" spans="4:25">
      <c r="D730">
        <v>21457</v>
      </c>
      <c r="Y730">
        <v>21457</v>
      </c>
    </row>
    <row r="731" spans="4:25">
      <c r="D731">
        <v>21488</v>
      </c>
      <c r="Y731">
        <v>21488</v>
      </c>
    </row>
    <row r="732" spans="4:25">
      <c r="D732">
        <v>21518</v>
      </c>
      <c r="Y732">
        <v>21518</v>
      </c>
    </row>
    <row r="733" spans="4:25">
      <c r="D733">
        <v>21549</v>
      </c>
      <c r="Y733">
        <v>21549</v>
      </c>
    </row>
    <row r="734" spans="4:25">
      <c r="D734">
        <v>21580</v>
      </c>
      <c r="Y734">
        <v>21580</v>
      </c>
    </row>
    <row r="735" spans="4:25">
      <c r="D735">
        <v>21609</v>
      </c>
      <c r="Y735">
        <v>21609</v>
      </c>
    </row>
    <row r="736" spans="4:25">
      <c r="D736">
        <v>21640</v>
      </c>
      <c r="Y736">
        <v>21640</v>
      </c>
    </row>
    <row r="737" spans="4:25">
      <c r="D737">
        <v>21670</v>
      </c>
      <c r="Y737">
        <v>21670</v>
      </c>
    </row>
    <row r="738" spans="4:25">
      <c r="D738">
        <v>21701</v>
      </c>
      <c r="Y738">
        <v>21701</v>
      </c>
    </row>
    <row r="739" spans="4:25">
      <c r="D739">
        <v>21731</v>
      </c>
      <c r="Y739">
        <v>21731</v>
      </c>
    </row>
    <row r="740" spans="4:25">
      <c r="D740">
        <v>21762</v>
      </c>
      <c r="Y740">
        <v>21762</v>
      </c>
    </row>
    <row r="741" spans="4:25">
      <c r="D741">
        <v>21793</v>
      </c>
      <c r="Y741">
        <v>21793</v>
      </c>
    </row>
    <row r="742" spans="4:25">
      <c r="D742">
        <v>21823</v>
      </c>
      <c r="Y742">
        <v>21823</v>
      </c>
    </row>
    <row r="743" spans="4:25">
      <c r="D743">
        <v>21854</v>
      </c>
      <c r="Y743">
        <v>21854</v>
      </c>
    </row>
    <row r="744" spans="4:25">
      <c r="D744">
        <v>21884</v>
      </c>
      <c r="Y744">
        <v>21884</v>
      </c>
    </row>
    <row r="745" spans="4:25">
      <c r="D745">
        <v>21915</v>
      </c>
      <c r="Y745">
        <v>21915</v>
      </c>
    </row>
    <row r="746" spans="4:25">
      <c r="D746">
        <v>21946</v>
      </c>
      <c r="Y746">
        <v>21946</v>
      </c>
    </row>
    <row r="747" spans="4:25">
      <c r="D747">
        <v>21974</v>
      </c>
      <c r="Y747">
        <v>21974</v>
      </c>
    </row>
    <row r="748" spans="4:25">
      <c r="D748">
        <v>22005</v>
      </c>
      <c r="Y748">
        <v>22005</v>
      </c>
    </row>
    <row r="749" spans="4:25">
      <c r="D749">
        <v>22035</v>
      </c>
      <c r="Y749">
        <v>22035</v>
      </c>
    </row>
    <row r="750" spans="4:25">
      <c r="D750">
        <v>22066</v>
      </c>
      <c r="Y750">
        <v>22066</v>
      </c>
    </row>
    <row r="751" spans="4:25">
      <c r="D751">
        <v>22096</v>
      </c>
      <c r="Y751">
        <v>22096</v>
      </c>
    </row>
    <row r="752" spans="4:25">
      <c r="D752">
        <v>22127</v>
      </c>
      <c r="Y752">
        <v>22127</v>
      </c>
    </row>
    <row r="753" spans="4:25">
      <c r="D753">
        <v>22158</v>
      </c>
      <c r="Y753">
        <v>22158</v>
      </c>
    </row>
    <row r="754" spans="4:25">
      <c r="D754">
        <v>22188</v>
      </c>
      <c r="Y754">
        <v>22188</v>
      </c>
    </row>
    <row r="755" spans="4:25">
      <c r="D755">
        <v>22219</v>
      </c>
      <c r="Y755">
        <v>22219</v>
      </c>
    </row>
    <row r="756" spans="4:25">
      <c r="D756">
        <v>22249</v>
      </c>
      <c r="Y756">
        <v>22249</v>
      </c>
    </row>
    <row r="757" spans="4:25">
      <c r="D757">
        <v>22280</v>
      </c>
      <c r="Y757">
        <v>22280</v>
      </c>
    </row>
    <row r="758" spans="4:25">
      <c r="D758">
        <v>22311</v>
      </c>
      <c r="Y758">
        <v>22311</v>
      </c>
    </row>
    <row r="759" spans="4:25">
      <c r="D759">
        <v>22339</v>
      </c>
      <c r="Y759">
        <v>22339</v>
      </c>
    </row>
    <row r="760" spans="4:25">
      <c r="D760">
        <v>22370</v>
      </c>
      <c r="Y760">
        <v>22370</v>
      </c>
    </row>
    <row r="761" spans="4:25">
      <c r="D761">
        <v>22400</v>
      </c>
      <c r="Y761">
        <v>22400</v>
      </c>
    </row>
    <row r="762" spans="4:25">
      <c r="D762">
        <v>22431</v>
      </c>
      <c r="Y762">
        <v>22431</v>
      </c>
    </row>
    <row r="763" spans="4:25">
      <c r="D763">
        <v>22461</v>
      </c>
      <c r="Y763">
        <v>22461</v>
      </c>
    </row>
    <row r="764" spans="4:25">
      <c r="D764">
        <v>22492</v>
      </c>
      <c r="Y764">
        <v>22492</v>
      </c>
    </row>
    <row r="765" spans="4:25">
      <c r="D765">
        <v>22523</v>
      </c>
      <c r="Y765">
        <v>22523</v>
      </c>
    </row>
    <row r="766" spans="4:25">
      <c r="D766">
        <v>22553</v>
      </c>
      <c r="Y766">
        <v>22553</v>
      </c>
    </row>
    <row r="767" spans="4:25">
      <c r="D767">
        <v>22584</v>
      </c>
      <c r="Y767">
        <v>22584</v>
      </c>
    </row>
    <row r="768" spans="4:25">
      <c r="D768">
        <v>22614</v>
      </c>
      <c r="Y768">
        <v>22614</v>
      </c>
    </row>
    <row r="769" spans="4:25">
      <c r="D769">
        <v>22645</v>
      </c>
      <c r="Y769">
        <v>22645</v>
      </c>
    </row>
    <row r="770" spans="4:25">
      <c r="D770">
        <v>22676</v>
      </c>
      <c r="Y770">
        <v>22676</v>
      </c>
    </row>
    <row r="771" spans="4:25">
      <c r="D771">
        <v>22704</v>
      </c>
      <c r="Y771">
        <v>22704</v>
      </c>
    </row>
    <row r="772" spans="4:25">
      <c r="D772">
        <v>22735</v>
      </c>
      <c r="Y772">
        <v>22735</v>
      </c>
    </row>
    <row r="773" spans="4:25">
      <c r="D773">
        <v>22765</v>
      </c>
      <c r="Y773">
        <v>22765</v>
      </c>
    </row>
    <row r="774" spans="4:25">
      <c r="D774">
        <v>22796</v>
      </c>
      <c r="Y774">
        <v>22796</v>
      </c>
    </row>
    <row r="775" spans="4:25">
      <c r="D775">
        <v>22826</v>
      </c>
      <c r="Y775">
        <v>22826</v>
      </c>
    </row>
    <row r="776" spans="4:25">
      <c r="D776">
        <v>22857</v>
      </c>
      <c r="Y776">
        <v>22857</v>
      </c>
    </row>
    <row r="777" spans="4:25">
      <c r="D777">
        <v>22888</v>
      </c>
      <c r="Y777">
        <v>22888</v>
      </c>
    </row>
    <row r="778" spans="4:25">
      <c r="D778">
        <v>22918</v>
      </c>
      <c r="Y778">
        <v>22918</v>
      </c>
    </row>
    <row r="779" spans="4:25">
      <c r="D779">
        <v>22949</v>
      </c>
      <c r="Y779">
        <v>22949</v>
      </c>
    </row>
    <row r="780" spans="4:25">
      <c r="D780">
        <v>22979</v>
      </c>
      <c r="Y780">
        <v>22979</v>
      </c>
    </row>
    <row r="781" spans="4:25">
      <c r="D781">
        <v>23010</v>
      </c>
      <c r="Y781">
        <v>23010</v>
      </c>
    </row>
    <row r="782" spans="4:25">
      <c r="D782">
        <v>23041</v>
      </c>
      <c r="Y782">
        <v>23041</v>
      </c>
    </row>
    <row r="783" spans="4:25">
      <c r="D783">
        <v>23070</v>
      </c>
      <c r="Y783">
        <v>23070</v>
      </c>
    </row>
    <row r="784" spans="4:25">
      <c r="D784">
        <v>23101</v>
      </c>
      <c r="Y784">
        <v>23101</v>
      </c>
    </row>
    <row r="785" spans="4:25">
      <c r="D785">
        <v>23131</v>
      </c>
      <c r="Y785">
        <v>23131</v>
      </c>
    </row>
    <row r="786" spans="4:25">
      <c r="D786">
        <v>23162</v>
      </c>
      <c r="Y786">
        <v>23162</v>
      </c>
    </row>
    <row r="787" spans="4:25">
      <c r="D787">
        <v>23192</v>
      </c>
      <c r="Y787">
        <v>23192</v>
      </c>
    </row>
    <row r="788" spans="4:25">
      <c r="D788">
        <v>23223</v>
      </c>
      <c r="Y788">
        <v>23223</v>
      </c>
    </row>
    <row r="789" spans="4:25">
      <c r="D789">
        <v>23254</v>
      </c>
      <c r="Y789">
        <v>23254</v>
      </c>
    </row>
    <row r="790" spans="4:25">
      <c r="D790">
        <v>23284</v>
      </c>
      <c r="Y790">
        <v>23284</v>
      </c>
    </row>
    <row r="791" spans="4:25">
      <c r="D791">
        <v>23315</v>
      </c>
      <c r="Y791">
        <v>23315</v>
      </c>
    </row>
    <row r="792" spans="4:25">
      <c r="D792">
        <v>23345</v>
      </c>
      <c r="Y792">
        <v>23345</v>
      </c>
    </row>
    <row r="793" spans="4:25">
      <c r="D793">
        <v>23376</v>
      </c>
      <c r="Y793">
        <v>23376</v>
      </c>
    </row>
    <row r="794" spans="4:25">
      <c r="D794">
        <v>23407</v>
      </c>
      <c r="Y794">
        <v>23407</v>
      </c>
    </row>
    <row r="795" spans="4:25">
      <c r="D795">
        <v>23435</v>
      </c>
      <c r="Y795">
        <v>23435</v>
      </c>
    </row>
    <row r="796" spans="4:25">
      <c r="D796">
        <v>23466</v>
      </c>
      <c r="Y796">
        <v>23466</v>
      </c>
    </row>
    <row r="797" spans="4:25">
      <c r="D797">
        <v>23496</v>
      </c>
      <c r="Y797">
        <v>23496</v>
      </c>
    </row>
    <row r="798" spans="4:25">
      <c r="D798">
        <v>23527</v>
      </c>
      <c r="Y798">
        <v>23527</v>
      </c>
    </row>
    <row r="799" spans="4:25">
      <c r="D799">
        <v>23557</v>
      </c>
      <c r="Y799">
        <v>23557</v>
      </c>
    </row>
    <row r="800" spans="4:25">
      <c r="D800">
        <v>23588</v>
      </c>
      <c r="Y800">
        <v>23588</v>
      </c>
    </row>
    <row r="801" spans="4:25">
      <c r="D801">
        <v>23619</v>
      </c>
      <c r="Y801">
        <v>23619</v>
      </c>
    </row>
    <row r="802" spans="4:25">
      <c r="D802">
        <v>23649</v>
      </c>
      <c r="Y802">
        <v>23649</v>
      </c>
    </row>
    <row r="803" spans="4:25">
      <c r="D803">
        <v>23680</v>
      </c>
      <c r="Y803">
        <v>23680</v>
      </c>
    </row>
    <row r="804" spans="4:25">
      <c r="D804">
        <v>23710</v>
      </c>
      <c r="Y804">
        <v>23710</v>
      </c>
    </row>
    <row r="805" spans="4:25">
      <c r="D805">
        <v>23741</v>
      </c>
      <c r="Y805">
        <v>23741</v>
      </c>
    </row>
    <row r="806" spans="4:25">
      <c r="D806">
        <v>23772</v>
      </c>
      <c r="Y806">
        <v>23772</v>
      </c>
    </row>
    <row r="807" spans="4:25">
      <c r="D807">
        <v>23800</v>
      </c>
      <c r="Y807">
        <v>23800</v>
      </c>
    </row>
    <row r="808" spans="4:25">
      <c r="D808">
        <v>23831</v>
      </c>
      <c r="Y808">
        <v>23831</v>
      </c>
    </row>
    <row r="809" spans="4:25">
      <c r="D809">
        <v>23861</v>
      </c>
      <c r="Y809">
        <v>23861</v>
      </c>
    </row>
    <row r="810" spans="4:25">
      <c r="D810">
        <v>23892</v>
      </c>
      <c r="Y810">
        <v>23892</v>
      </c>
    </row>
    <row r="811" spans="4:25">
      <c r="D811">
        <v>23922</v>
      </c>
      <c r="Y811">
        <v>23922</v>
      </c>
    </row>
    <row r="812" spans="4:25">
      <c r="D812">
        <v>23953</v>
      </c>
      <c r="Y812">
        <v>23953</v>
      </c>
    </row>
    <row r="813" spans="4:25">
      <c r="D813">
        <v>23984</v>
      </c>
      <c r="Y813">
        <v>23984</v>
      </c>
    </row>
    <row r="814" spans="4:25">
      <c r="D814">
        <v>24014</v>
      </c>
      <c r="Y814">
        <v>24014</v>
      </c>
    </row>
    <row r="815" spans="4:25">
      <c r="D815">
        <v>24045</v>
      </c>
      <c r="Y815">
        <v>24045</v>
      </c>
    </row>
    <row r="816" spans="4:25">
      <c r="D816">
        <v>24075</v>
      </c>
      <c r="Y816">
        <v>24075</v>
      </c>
    </row>
    <row r="817" spans="4:25">
      <c r="D817">
        <v>24106</v>
      </c>
      <c r="Y817">
        <v>24106</v>
      </c>
    </row>
    <row r="818" spans="4:25">
      <c r="D818">
        <v>24137</v>
      </c>
      <c r="Y818">
        <v>24137</v>
      </c>
    </row>
    <row r="819" spans="4:25">
      <c r="D819">
        <v>24165</v>
      </c>
      <c r="Y819">
        <v>24165</v>
      </c>
    </row>
    <row r="820" spans="4:25">
      <c r="D820">
        <v>24196</v>
      </c>
      <c r="Y820">
        <v>24196</v>
      </c>
    </row>
    <row r="821" spans="4:25">
      <c r="D821">
        <v>24226</v>
      </c>
      <c r="Y821">
        <v>24226</v>
      </c>
    </row>
    <row r="822" spans="4:25">
      <c r="D822">
        <v>24257</v>
      </c>
      <c r="Y822">
        <v>24257</v>
      </c>
    </row>
    <row r="823" spans="4:25">
      <c r="D823">
        <v>24287</v>
      </c>
      <c r="Y823">
        <v>24287</v>
      </c>
    </row>
    <row r="824" spans="4:25">
      <c r="D824">
        <v>24318</v>
      </c>
      <c r="Y824">
        <v>24318</v>
      </c>
    </row>
    <row r="825" spans="4:25">
      <c r="D825">
        <v>24349</v>
      </c>
      <c r="Y825">
        <v>24349</v>
      </c>
    </row>
    <row r="826" spans="4:25">
      <c r="D826">
        <v>24379</v>
      </c>
      <c r="Y826">
        <v>24379</v>
      </c>
    </row>
    <row r="827" spans="4:25">
      <c r="D827">
        <v>24410</v>
      </c>
      <c r="Y827">
        <v>24410</v>
      </c>
    </row>
    <row r="828" spans="4:25">
      <c r="D828">
        <v>24440</v>
      </c>
      <c r="Y828">
        <v>24440</v>
      </c>
    </row>
    <row r="829" spans="4:25">
      <c r="D829">
        <v>24471</v>
      </c>
      <c r="Y829">
        <v>24471</v>
      </c>
    </row>
    <row r="830" spans="4:25">
      <c r="D830">
        <v>24502</v>
      </c>
      <c r="Y830">
        <v>24502</v>
      </c>
    </row>
    <row r="831" spans="4:25">
      <c r="D831">
        <v>24531</v>
      </c>
      <c r="Y831">
        <v>24531</v>
      </c>
    </row>
    <row r="832" spans="4:25">
      <c r="D832">
        <v>24562</v>
      </c>
      <c r="Y832">
        <v>24562</v>
      </c>
    </row>
    <row r="833" spans="4:25">
      <c r="D833">
        <v>24592</v>
      </c>
      <c r="Y833">
        <v>24592</v>
      </c>
    </row>
    <row r="834" spans="4:25">
      <c r="D834">
        <v>24623</v>
      </c>
      <c r="Y834">
        <v>24623</v>
      </c>
    </row>
    <row r="835" spans="4:25">
      <c r="D835">
        <v>24653</v>
      </c>
      <c r="Y835">
        <v>24653</v>
      </c>
    </row>
    <row r="836" spans="4:25">
      <c r="D836">
        <v>24684</v>
      </c>
      <c r="Y836">
        <v>24684</v>
      </c>
    </row>
    <row r="837" spans="4:25">
      <c r="D837">
        <v>24715</v>
      </c>
      <c r="Y837">
        <v>24715</v>
      </c>
    </row>
    <row r="838" spans="4:25">
      <c r="D838">
        <v>24745</v>
      </c>
      <c r="Y838">
        <v>24745</v>
      </c>
    </row>
    <row r="839" spans="4:25">
      <c r="D839">
        <v>24776</v>
      </c>
      <c r="Y839">
        <v>24776</v>
      </c>
    </row>
    <row r="840" spans="4:25">
      <c r="D840">
        <v>24806</v>
      </c>
      <c r="Y840">
        <v>24806</v>
      </c>
    </row>
    <row r="841" spans="4:25">
      <c r="D841">
        <v>24837</v>
      </c>
      <c r="Y841">
        <v>24837</v>
      </c>
    </row>
    <row r="842" spans="4:25">
      <c r="D842">
        <v>24868</v>
      </c>
      <c r="Y842">
        <v>24868</v>
      </c>
    </row>
    <row r="843" spans="4:25">
      <c r="D843">
        <v>24896</v>
      </c>
      <c r="Y843">
        <v>24896</v>
      </c>
    </row>
    <row r="844" spans="4:25">
      <c r="D844">
        <v>24927</v>
      </c>
      <c r="Y844">
        <v>24927</v>
      </c>
    </row>
    <row r="845" spans="4:25">
      <c r="D845">
        <v>24957</v>
      </c>
      <c r="Y845">
        <v>24957</v>
      </c>
    </row>
    <row r="846" spans="4:25">
      <c r="D846">
        <v>24988</v>
      </c>
      <c r="Y846">
        <v>24988</v>
      </c>
    </row>
    <row r="847" spans="4:25">
      <c r="D847">
        <v>25018</v>
      </c>
      <c r="Y847">
        <v>25018</v>
      </c>
    </row>
    <row r="848" spans="4:25">
      <c r="D848">
        <v>25049</v>
      </c>
      <c r="Y848">
        <v>25049</v>
      </c>
    </row>
    <row r="849" spans="4:25">
      <c r="D849">
        <v>25080</v>
      </c>
      <c r="Y849">
        <v>25080</v>
      </c>
    </row>
    <row r="850" spans="4:25">
      <c r="D850">
        <v>25110</v>
      </c>
      <c r="Y850">
        <v>25110</v>
      </c>
    </row>
    <row r="851" spans="4:25">
      <c r="D851">
        <v>25141</v>
      </c>
      <c r="Y851">
        <v>25141</v>
      </c>
    </row>
    <row r="852" spans="4:25">
      <c r="D852">
        <v>25171</v>
      </c>
      <c r="Y852">
        <v>25171</v>
      </c>
    </row>
    <row r="853" spans="4:25">
      <c r="D853">
        <v>25202</v>
      </c>
      <c r="Y853">
        <v>25202</v>
      </c>
    </row>
    <row r="854" spans="4:25">
      <c r="D854">
        <v>25233</v>
      </c>
      <c r="Y854">
        <v>25233</v>
      </c>
    </row>
    <row r="855" spans="4:25">
      <c r="D855">
        <v>25261</v>
      </c>
      <c r="Y855">
        <v>25261</v>
      </c>
    </row>
    <row r="856" spans="4:25">
      <c r="D856">
        <v>25292</v>
      </c>
      <c r="Y856">
        <v>25292</v>
      </c>
    </row>
    <row r="857" spans="4:25">
      <c r="D857">
        <v>25322</v>
      </c>
      <c r="Y857">
        <v>25322</v>
      </c>
    </row>
    <row r="858" spans="4:25">
      <c r="D858">
        <v>25353</v>
      </c>
      <c r="Y858">
        <v>25353</v>
      </c>
    </row>
    <row r="859" spans="4:25">
      <c r="D859">
        <v>25383</v>
      </c>
      <c r="Y859">
        <v>25383</v>
      </c>
    </row>
    <row r="860" spans="4:25">
      <c r="D860">
        <v>25414</v>
      </c>
      <c r="Y860">
        <v>25414</v>
      </c>
    </row>
    <row r="861" spans="4:25">
      <c r="D861">
        <v>25445</v>
      </c>
      <c r="Y861">
        <v>25445</v>
      </c>
    </row>
    <row r="862" spans="4:25">
      <c r="D862">
        <v>25475</v>
      </c>
      <c r="Y862">
        <v>25475</v>
      </c>
    </row>
    <row r="863" spans="4:25">
      <c r="D863">
        <v>25506</v>
      </c>
      <c r="Y863">
        <v>25506</v>
      </c>
    </row>
    <row r="864" spans="4:25">
      <c r="D864">
        <v>25536</v>
      </c>
      <c r="Y864">
        <v>25536</v>
      </c>
    </row>
    <row r="865" spans="4:25">
      <c r="D865">
        <v>25567</v>
      </c>
      <c r="Y865">
        <v>25567</v>
      </c>
    </row>
    <row r="866" spans="4:25">
      <c r="D866">
        <v>25598</v>
      </c>
      <c r="Y866">
        <v>25598</v>
      </c>
    </row>
    <row r="867" spans="4:25">
      <c r="D867">
        <v>25626</v>
      </c>
      <c r="Y867">
        <v>25626</v>
      </c>
    </row>
    <row r="868" spans="4:25">
      <c r="D868">
        <v>25657</v>
      </c>
      <c r="Y868">
        <v>25657</v>
      </c>
    </row>
    <row r="869" spans="4:25">
      <c r="D869">
        <v>25687</v>
      </c>
      <c r="Y869">
        <v>25687</v>
      </c>
    </row>
    <row r="870" spans="4:25">
      <c r="D870">
        <v>25718</v>
      </c>
      <c r="Y870">
        <v>25718</v>
      </c>
    </row>
    <row r="871" spans="4:25">
      <c r="D871">
        <v>25748</v>
      </c>
      <c r="Y871">
        <v>25748</v>
      </c>
    </row>
    <row r="872" spans="4:25">
      <c r="D872">
        <v>25779</v>
      </c>
      <c r="Y872">
        <v>25779</v>
      </c>
    </row>
    <row r="873" spans="4:25">
      <c r="D873">
        <v>25810</v>
      </c>
      <c r="Y873">
        <v>25810</v>
      </c>
    </row>
    <row r="874" spans="4:25">
      <c r="D874">
        <v>25840</v>
      </c>
      <c r="Y874">
        <v>25840</v>
      </c>
    </row>
    <row r="875" spans="4:25">
      <c r="D875">
        <v>25871</v>
      </c>
      <c r="Y875">
        <v>25871</v>
      </c>
    </row>
    <row r="876" spans="4:25">
      <c r="D876">
        <v>25901</v>
      </c>
      <c r="Y876">
        <v>25901</v>
      </c>
    </row>
    <row r="877" spans="4:25">
      <c r="D877">
        <v>25932</v>
      </c>
      <c r="Y877">
        <v>25932</v>
      </c>
    </row>
    <row r="878" spans="4:25">
      <c r="D878">
        <v>25963</v>
      </c>
      <c r="Y878">
        <v>25963</v>
      </c>
    </row>
    <row r="879" spans="4:25">
      <c r="D879">
        <v>25992</v>
      </c>
      <c r="Y879">
        <v>25992</v>
      </c>
    </row>
    <row r="880" spans="4:25">
      <c r="D880">
        <v>26023</v>
      </c>
      <c r="Y880">
        <v>26023</v>
      </c>
    </row>
    <row r="881" spans="4:25">
      <c r="D881">
        <v>26053</v>
      </c>
      <c r="Y881">
        <v>26053</v>
      </c>
    </row>
    <row r="882" spans="4:25">
      <c r="D882">
        <v>26084</v>
      </c>
      <c r="Y882">
        <v>26084</v>
      </c>
    </row>
    <row r="883" spans="4:25">
      <c r="D883">
        <v>26114</v>
      </c>
      <c r="Y883">
        <v>26114</v>
      </c>
    </row>
    <row r="884" spans="4:25">
      <c r="D884">
        <v>26145</v>
      </c>
      <c r="Y884">
        <v>26145</v>
      </c>
    </row>
    <row r="885" spans="4:25">
      <c r="D885">
        <v>26176</v>
      </c>
      <c r="Y885">
        <v>26176</v>
      </c>
    </row>
    <row r="886" spans="4:25">
      <c r="D886">
        <v>26206</v>
      </c>
      <c r="Y886">
        <v>26206</v>
      </c>
    </row>
    <row r="887" spans="4:25">
      <c r="D887">
        <v>26237</v>
      </c>
      <c r="Y887">
        <v>26237</v>
      </c>
    </row>
    <row r="888" spans="4:25">
      <c r="D888">
        <v>26267</v>
      </c>
      <c r="Y888">
        <v>26267</v>
      </c>
    </row>
    <row r="889" spans="4:25">
      <c r="D889">
        <v>26298</v>
      </c>
      <c r="Y889">
        <v>26298</v>
      </c>
    </row>
    <row r="890" spans="4:25">
      <c r="D890">
        <v>26329</v>
      </c>
      <c r="Y890">
        <v>26329</v>
      </c>
    </row>
    <row r="891" spans="4:25">
      <c r="D891">
        <v>26357</v>
      </c>
      <c r="Y891">
        <v>26357</v>
      </c>
    </row>
    <row r="892" spans="4:25">
      <c r="D892">
        <v>26388</v>
      </c>
      <c r="Y892">
        <v>26388</v>
      </c>
    </row>
    <row r="893" spans="4:25">
      <c r="D893">
        <v>26418</v>
      </c>
      <c r="Y893">
        <v>26418</v>
      </c>
    </row>
    <row r="894" spans="4:25">
      <c r="D894">
        <v>26449</v>
      </c>
      <c r="Y894">
        <v>26449</v>
      </c>
    </row>
    <row r="895" spans="4:25">
      <c r="D895">
        <v>26479</v>
      </c>
      <c r="Y895">
        <v>26479</v>
      </c>
    </row>
    <row r="896" spans="4:25">
      <c r="D896">
        <v>26510</v>
      </c>
      <c r="Y896">
        <v>26510</v>
      </c>
    </row>
    <row r="897" spans="4:25">
      <c r="D897">
        <v>26541</v>
      </c>
      <c r="Y897">
        <v>26541</v>
      </c>
    </row>
    <row r="898" spans="4:25">
      <c r="D898">
        <v>26571</v>
      </c>
      <c r="Y898">
        <v>26571</v>
      </c>
    </row>
    <row r="899" spans="4:25">
      <c r="D899">
        <v>26602</v>
      </c>
      <c r="Y899">
        <v>26602</v>
      </c>
    </row>
    <row r="900" spans="4:25">
      <c r="D900">
        <v>26632</v>
      </c>
      <c r="Y900">
        <v>26632</v>
      </c>
    </row>
    <row r="901" spans="4:25">
      <c r="D901">
        <v>26663</v>
      </c>
      <c r="Y901">
        <v>26663</v>
      </c>
    </row>
    <row r="902" spans="4:25">
      <c r="D902">
        <v>26694</v>
      </c>
      <c r="Y902">
        <v>26694</v>
      </c>
    </row>
    <row r="903" spans="4:25">
      <c r="D903">
        <v>26722</v>
      </c>
      <c r="Y903">
        <v>26722</v>
      </c>
    </row>
    <row r="904" spans="4:25">
      <c r="D904">
        <v>26753</v>
      </c>
      <c r="Y904">
        <v>26753</v>
      </c>
    </row>
    <row r="905" spans="4:25">
      <c r="D905">
        <v>26783</v>
      </c>
      <c r="Y905">
        <v>26783</v>
      </c>
    </row>
    <row r="906" spans="4:25">
      <c r="D906">
        <v>26814</v>
      </c>
      <c r="Y906">
        <v>26814</v>
      </c>
    </row>
    <row r="907" spans="4:25">
      <c r="D907">
        <v>26844</v>
      </c>
      <c r="Y907">
        <v>26844</v>
      </c>
    </row>
    <row r="908" spans="4:25">
      <c r="D908">
        <v>26875</v>
      </c>
      <c r="Y908">
        <v>26875</v>
      </c>
    </row>
    <row r="909" spans="4:25">
      <c r="D909">
        <v>26906</v>
      </c>
      <c r="Y909">
        <v>26906</v>
      </c>
    </row>
    <row r="910" spans="4:25">
      <c r="D910">
        <v>26936</v>
      </c>
      <c r="Y910">
        <v>26936</v>
      </c>
    </row>
    <row r="911" spans="4:25">
      <c r="D911">
        <v>26967</v>
      </c>
      <c r="Y911">
        <v>26967</v>
      </c>
    </row>
    <row r="912" spans="4:25">
      <c r="D912">
        <v>26997</v>
      </c>
      <c r="Y912">
        <v>26997</v>
      </c>
    </row>
    <row r="913" spans="4:25">
      <c r="D913">
        <v>27028</v>
      </c>
      <c r="Y913">
        <v>27028</v>
      </c>
    </row>
    <row r="914" spans="4:25">
      <c r="D914">
        <v>27059</v>
      </c>
      <c r="Y914">
        <v>27059</v>
      </c>
    </row>
    <row r="915" spans="4:25">
      <c r="D915">
        <v>27087</v>
      </c>
      <c r="Y915">
        <v>27087</v>
      </c>
    </row>
    <row r="916" spans="4:25">
      <c r="D916">
        <v>27118</v>
      </c>
      <c r="Y916">
        <v>27118</v>
      </c>
    </row>
    <row r="917" spans="4:25">
      <c r="D917">
        <v>27148</v>
      </c>
      <c r="Y917">
        <v>27148</v>
      </c>
    </row>
    <row r="918" spans="4:25">
      <c r="D918">
        <v>27179</v>
      </c>
      <c r="Y918">
        <v>27179</v>
      </c>
    </row>
    <row r="919" spans="4:25">
      <c r="D919">
        <v>27209</v>
      </c>
      <c r="Y919">
        <v>27209</v>
      </c>
    </row>
    <row r="920" spans="4:25">
      <c r="D920">
        <v>27240</v>
      </c>
      <c r="Y920">
        <v>27240</v>
      </c>
    </row>
    <row r="921" spans="4:25">
      <c r="D921">
        <v>27271</v>
      </c>
      <c r="Y921">
        <v>27271</v>
      </c>
    </row>
    <row r="922" spans="4:25">
      <c r="D922">
        <v>27301</v>
      </c>
      <c r="Y922">
        <v>27301</v>
      </c>
    </row>
    <row r="923" spans="4:25">
      <c r="D923">
        <v>27332</v>
      </c>
      <c r="Y923">
        <v>27332</v>
      </c>
    </row>
    <row r="924" spans="4:25">
      <c r="D924">
        <v>27362</v>
      </c>
      <c r="Y924">
        <v>27362</v>
      </c>
    </row>
    <row r="925" spans="4:25">
      <c r="D925">
        <v>27393</v>
      </c>
      <c r="Y925">
        <v>27393</v>
      </c>
    </row>
    <row r="926" spans="4:25">
      <c r="D926">
        <v>27424</v>
      </c>
      <c r="Y926">
        <v>27424</v>
      </c>
    </row>
    <row r="927" spans="4:25">
      <c r="D927">
        <v>27453</v>
      </c>
      <c r="Y927">
        <v>27453</v>
      </c>
    </row>
    <row r="928" spans="4:25">
      <c r="D928">
        <v>27484</v>
      </c>
      <c r="Y928">
        <v>27484</v>
      </c>
    </row>
    <row r="929" spans="4:25">
      <c r="D929">
        <v>27514</v>
      </c>
      <c r="Y929">
        <v>27514</v>
      </c>
    </row>
    <row r="930" spans="4:25">
      <c r="D930">
        <v>27545</v>
      </c>
      <c r="Y930">
        <v>27545</v>
      </c>
    </row>
    <row r="931" spans="4:25">
      <c r="D931">
        <v>27575</v>
      </c>
      <c r="Y931">
        <v>27575</v>
      </c>
    </row>
    <row r="932" spans="4:25">
      <c r="D932">
        <v>27606</v>
      </c>
      <c r="Y932">
        <v>27606</v>
      </c>
    </row>
    <row r="933" spans="4:25">
      <c r="D933">
        <v>27637</v>
      </c>
      <c r="Y933">
        <v>27637</v>
      </c>
    </row>
    <row r="934" spans="4:25">
      <c r="D934">
        <v>27667</v>
      </c>
      <c r="Y934">
        <v>27667</v>
      </c>
    </row>
    <row r="935" spans="4:25">
      <c r="D935">
        <v>27698</v>
      </c>
      <c r="Y935">
        <v>27698</v>
      </c>
    </row>
    <row r="936" spans="4:25">
      <c r="D936">
        <v>27728</v>
      </c>
      <c r="Y936">
        <v>27728</v>
      </c>
    </row>
    <row r="937" spans="4:25">
      <c r="D937">
        <v>27759</v>
      </c>
      <c r="Y937">
        <v>27759</v>
      </c>
    </row>
    <row r="938" spans="4:25">
      <c r="D938">
        <v>27790</v>
      </c>
      <c r="Y938">
        <v>27790</v>
      </c>
    </row>
    <row r="939" spans="4:25">
      <c r="D939">
        <v>27818</v>
      </c>
      <c r="Y939">
        <v>27818</v>
      </c>
    </row>
    <row r="940" spans="4:25">
      <c r="D940">
        <v>27849</v>
      </c>
      <c r="Y940">
        <v>27849</v>
      </c>
    </row>
    <row r="941" spans="4:25">
      <c r="D941">
        <v>27879</v>
      </c>
      <c r="Y941">
        <v>27879</v>
      </c>
    </row>
    <row r="942" spans="4:25">
      <c r="D942">
        <v>27910</v>
      </c>
      <c r="Y942">
        <v>27910</v>
      </c>
    </row>
    <row r="943" spans="4:25">
      <c r="D943">
        <v>27940</v>
      </c>
      <c r="Y943">
        <v>27940</v>
      </c>
    </row>
    <row r="944" spans="4:25">
      <c r="D944">
        <v>27971</v>
      </c>
      <c r="Y944">
        <v>27971</v>
      </c>
    </row>
    <row r="945" spans="4:25">
      <c r="D945">
        <v>28002</v>
      </c>
      <c r="Y945">
        <v>28002</v>
      </c>
    </row>
    <row r="946" spans="4:25">
      <c r="D946">
        <v>28032</v>
      </c>
      <c r="Y946">
        <v>28032</v>
      </c>
    </row>
    <row r="947" spans="4:25">
      <c r="D947">
        <v>28063</v>
      </c>
      <c r="Y947">
        <v>28063</v>
      </c>
    </row>
    <row r="948" spans="4:25">
      <c r="D948">
        <v>28093</v>
      </c>
      <c r="Y948">
        <v>28093</v>
      </c>
    </row>
    <row r="949" spans="4:25">
      <c r="D949">
        <v>28124</v>
      </c>
      <c r="Y949">
        <v>28124</v>
      </c>
    </row>
    <row r="950" spans="4:25">
      <c r="D950">
        <v>28155</v>
      </c>
      <c r="Y950">
        <v>28155</v>
      </c>
    </row>
    <row r="951" spans="4:25">
      <c r="D951">
        <v>28183</v>
      </c>
      <c r="Y951">
        <v>28183</v>
      </c>
    </row>
    <row r="952" spans="4:25">
      <c r="D952">
        <v>28214</v>
      </c>
      <c r="Y952">
        <v>28214</v>
      </c>
    </row>
    <row r="953" spans="4:25">
      <c r="D953">
        <v>28244</v>
      </c>
      <c r="Y953">
        <v>28244</v>
      </c>
    </row>
    <row r="954" spans="4:25">
      <c r="D954">
        <v>28275</v>
      </c>
      <c r="Y954">
        <v>28275</v>
      </c>
    </row>
    <row r="955" spans="4:25">
      <c r="D955">
        <v>28305</v>
      </c>
      <c r="Y955">
        <v>28305</v>
      </c>
    </row>
    <row r="956" spans="4:25">
      <c r="D956">
        <v>28336</v>
      </c>
      <c r="Y956">
        <v>28336</v>
      </c>
    </row>
    <row r="957" spans="4:25">
      <c r="D957">
        <v>28367</v>
      </c>
      <c r="Y957">
        <v>28367</v>
      </c>
    </row>
    <row r="958" spans="4:25">
      <c r="D958">
        <v>28397</v>
      </c>
      <c r="Y958">
        <v>28397</v>
      </c>
    </row>
    <row r="959" spans="4:25">
      <c r="D959">
        <v>28428</v>
      </c>
      <c r="Y959">
        <v>28428</v>
      </c>
    </row>
    <row r="960" spans="4:25">
      <c r="D960">
        <v>28458</v>
      </c>
      <c r="Y960">
        <v>28458</v>
      </c>
    </row>
    <row r="961" spans="4:25">
      <c r="D961">
        <v>28489</v>
      </c>
      <c r="Y961">
        <v>28489</v>
      </c>
    </row>
    <row r="962" spans="4:25">
      <c r="D962">
        <v>28520</v>
      </c>
      <c r="Y962">
        <v>28520</v>
      </c>
    </row>
    <row r="963" spans="4:25">
      <c r="D963">
        <v>28548</v>
      </c>
      <c r="Y963">
        <v>28548</v>
      </c>
    </row>
    <row r="964" spans="4:25">
      <c r="D964">
        <v>28579</v>
      </c>
      <c r="Y964">
        <v>28579</v>
      </c>
    </row>
    <row r="965" spans="4:25">
      <c r="D965">
        <v>28609</v>
      </c>
      <c r="Y965">
        <v>28609</v>
      </c>
    </row>
    <row r="966" spans="4:25">
      <c r="D966">
        <v>28640</v>
      </c>
      <c r="Y966">
        <v>28640</v>
      </c>
    </row>
    <row r="967" spans="4:25">
      <c r="D967">
        <v>28670</v>
      </c>
      <c r="Y967">
        <v>28670</v>
      </c>
    </row>
    <row r="968" spans="4:25">
      <c r="D968">
        <v>28701</v>
      </c>
      <c r="Y968">
        <v>28701</v>
      </c>
    </row>
    <row r="969" spans="4:25">
      <c r="D969">
        <v>28732</v>
      </c>
      <c r="Y969">
        <v>28732</v>
      </c>
    </row>
    <row r="970" spans="4:25">
      <c r="D970">
        <v>28762</v>
      </c>
      <c r="Y970">
        <v>28762</v>
      </c>
    </row>
    <row r="971" spans="4:25">
      <c r="D971">
        <v>28793</v>
      </c>
      <c r="Y971">
        <v>28793</v>
      </c>
    </row>
    <row r="972" spans="4:25">
      <c r="D972">
        <v>28823</v>
      </c>
      <c r="Y972">
        <v>28823</v>
      </c>
    </row>
    <row r="973" spans="4:25">
      <c r="D973">
        <v>28854</v>
      </c>
      <c r="Y973">
        <v>28854</v>
      </c>
    </row>
    <row r="974" spans="4:25">
      <c r="D974">
        <v>28885</v>
      </c>
      <c r="Y974">
        <v>28885</v>
      </c>
    </row>
    <row r="975" spans="4:25">
      <c r="D975">
        <v>28914</v>
      </c>
      <c r="Y975">
        <v>28914</v>
      </c>
    </row>
    <row r="976" spans="4:25">
      <c r="D976">
        <v>28945</v>
      </c>
      <c r="Y976">
        <v>28945</v>
      </c>
    </row>
    <row r="977" spans="4:25">
      <c r="D977">
        <v>28975</v>
      </c>
      <c r="Y977">
        <v>28975</v>
      </c>
    </row>
    <row r="978" spans="4:25">
      <c r="D978">
        <v>29006</v>
      </c>
      <c r="Y978">
        <v>29006</v>
      </c>
    </row>
    <row r="979" spans="4:25">
      <c r="D979">
        <v>29036</v>
      </c>
      <c r="Y979">
        <v>29036</v>
      </c>
    </row>
    <row r="980" spans="4:25">
      <c r="D980">
        <v>29067</v>
      </c>
      <c r="Y980">
        <v>29067</v>
      </c>
    </row>
    <row r="981" spans="4:25">
      <c r="D981">
        <v>29098</v>
      </c>
      <c r="Y981">
        <v>29098</v>
      </c>
    </row>
    <row r="982" spans="4:25">
      <c r="D982">
        <v>29128</v>
      </c>
      <c r="Y982">
        <v>29128</v>
      </c>
    </row>
    <row r="983" spans="4:25">
      <c r="D983">
        <v>29159</v>
      </c>
      <c r="Y983">
        <v>29159</v>
      </c>
    </row>
    <row r="984" spans="4:25">
      <c r="D984">
        <v>29189</v>
      </c>
      <c r="Y984">
        <v>29189</v>
      </c>
    </row>
    <row r="985" spans="4:25">
      <c r="D985">
        <v>29220</v>
      </c>
      <c r="Y985">
        <v>29220</v>
      </c>
    </row>
    <row r="986" spans="4:25">
      <c r="D986">
        <v>29251</v>
      </c>
      <c r="Y986">
        <v>29251</v>
      </c>
    </row>
    <row r="987" spans="4:25">
      <c r="D987">
        <v>29279</v>
      </c>
      <c r="Y987">
        <v>29279</v>
      </c>
    </row>
    <row r="988" spans="4:25">
      <c r="D988">
        <v>29310</v>
      </c>
      <c r="Y988">
        <v>29310</v>
      </c>
    </row>
    <row r="989" spans="4:25">
      <c r="D989">
        <v>29340</v>
      </c>
      <c r="Y989">
        <v>29340</v>
      </c>
    </row>
    <row r="990" spans="4:25">
      <c r="D990">
        <v>29371</v>
      </c>
      <c r="Y990">
        <v>29371</v>
      </c>
    </row>
    <row r="991" spans="4:25">
      <c r="D991">
        <v>29401</v>
      </c>
      <c r="Y991">
        <v>29401</v>
      </c>
    </row>
    <row r="992" spans="4:25">
      <c r="D992">
        <v>29432</v>
      </c>
      <c r="Y992">
        <v>29432</v>
      </c>
    </row>
    <row r="993" spans="4:25">
      <c r="D993">
        <v>29463</v>
      </c>
      <c r="Y993">
        <v>29463</v>
      </c>
    </row>
    <row r="994" spans="4:25">
      <c r="D994">
        <v>29493</v>
      </c>
      <c r="Y994">
        <v>29493</v>
      </c>
    </row>
    <row r="995" spans="4:25">
      <c r="D995">
        <v>29524</v>
      </c>
      <c r="Y995">
        <v>29524</v>
      </c>
    </row>
    <row r="996" spans="4:25">
      <c r="D996">
        <v>29554</v>
      </c>
      <c r="Y996">
        <v>29554</v>
      </c>
    </row>
    <row r="997" spans="4:25">
      <c r="D997">
        <v>29585</v>
      </c>
      <c r="Y997">
        <v>29585</v>
      </c>
    </row>
    <row r="998" spans="4:25">
      <c r="D998">
        <v>29616</v>
      </c>
      <c r="Y998">
        <v>29616</v>
      </c>
    </row>
    <row r="999" spans="4:25">
      <c r="D999">
        <v>29644</v>
      </c>
      <c r="Y999">
        <v>29644</v>
      </c>
    </row>
    <row r="1000" spans="4:25">
      <c r="D1000">
        <v>29675</v>
      </c>
      <c r="Y1000">
        <v>29675</v>
      </c>
    </row>
    <row r="1001" spans="4:25">
      <c r="D1001">
        <v>29705</v>
      </c>
      <c r="Y1001">
        <v>29705</v>
      </c>
    </row>
    <row r="1002" spans="4:25">
      <c r="D1002">
        <v>29736</v>
      </c>
      <c r="Y1002">
        <v>29736</v>
      </c>
    </row>
    <row r="1003" spans="4:25">
      <c r="D1003">
        <v>29766</v>
      </c>
      <c r="Y1003">
        <v>29766</v>
      </c>
    </row>
    <row r="1004" spans="4:25">
      <c r="D1004">
        <v>29797</v>
      </c>
      <c r="Y1004">
        <v>29797</v>
      </c>
    </row>
    <row r="1005" spans="4:25">
      <c r="D1005">
        <v>29828</v>
      </c>
      <c r="Y1005">
        <v>29828</v>
      </c>
    </row>
    <row r="1006" spans="4:25">
      <c r="D1006">
        <v>29858</v>
      </c>
      <c r="Y1006">
        <v>29858</v>
      </c>
    </row>
    <row r="1007" spans="4:25">
      <c r="D1007">
        <v>29889</v>
      </c>
      <c r="Y1007">
        <v>29889</v>
      </c>
    </row>
    <row r="1008" spans="4:25">
      <c r="D1008">
        <v>29919</v>
      </c>
      <c r="Y1008">
        <v>29919</v>
      </c>
    </row>
    <row r="1009" spans="4:25">
      <c r="D1009">
        <v>29950</v>
      </c>
      <c r="Y1009">
        <v>29950</v>
      </c>
    </row>
    <row r="1010" spans="4:25">
      <c r="D1010">
        <v>29981</v>
      </c>
      <c r="Y1010">
        <v>29981</v>
      </c>
    </row>
    <row r="1011" spans="4:25">
      <c r="D1011">
        <v>30009</v>
      </c>
      <c r="Y1011">
        <v>30009</v>
      </c>
    </row>
    <row r="1012" spans="4:25">
      <c r="D1012">
        <v>30040</v>
      </c>
      <c r="Y1012">
        <v>30040</v>
      </c>
    </row>
    <row r="1013" spans="4:25">
      <c r="D1013">
        <v>30070</v>
      </c>
      <c r="Y1013">
        <v>30070</v>
      </c>
    </row>
    <row r="1014" spans="4:25">
      <c r="D1014">
        <v>30101</v>
      </c>
      <c r="Y1014">
        <v>30101</v>
      </c>
    </row>
    <row r="1015" spans="4:25">
      <c r="D1015">
        <v>30131</v>
      </c>
      <c r="Y1015">
        <v>30131</v>
      </c>
    </row>
    <row r="1016" spans="4:25">
      <c r="D1016">
        <v>30162</v>
      </c>
      <c r="Y1016">
        <v>30162</v>
      </c>
    </row>
    <row r="1017" spans="4:25">
      <c r="D1017">
        <v>30193</v>
      </c>
      <c r="Y1017">
        <v>30193</v>
      </c>
    </row>
    <row r="1018" spans="4:25">
      <c r="D1018">
        <v>30223</v>
      </c>
      <c r="Y1018">
        <v>30223</v>
      </c>
    </row>
    <row r="1019" spans="4:25">
      <c r="D1019">
        <v>30254</v>
      </c>
      <c r="Y1019">
        <v>30254</v>
      </c>
    </row>
    <row r="1020" spans="4:25">
      <c r="D1020">
        <v>30284</v>
      </c>
      <c r="Y1020">
        <v>30284</v>
      </c>
    </row>
    <row r="1021" spans="4:25">
      <c r="D1021">
        <v>30315</v>
      </c>
      <c r="Y1021">
        <v>30315</v>
      </c>
    </row>
    <row r="1022" spans="4:25">
      <c r="D1022">
        <v>30346</v>
      </c>
      <c r="Y1022">
        <v>30346</v>
      </c>
    </row>
    <row r="1023" spans="4:25">
      <c r="D1023">
        <v>30375</v>
      </c>
      <c r="Y1023">
        <v>30375</v>
      </c>
    </row>
    <row r="1024" spans="4:25">
      <c r="D1024">
        <v>30406</v>
      </c>
      <c r="Y1024">
        <v>30406</v>
      </c>
    </row>
    <row r="1025" spans="4:25">
      <c r="D1025">
        <v>30436</v>
      </c>
      <c r="Y1025">
        <v>30436</v>
      </c>
    </row>
    <row r="1026" spans="4:25">
      <c r="D1026">
        <v>30467</v>
      </c>
      <c r="Y1026">
        <v>30467</v>
      </c>
    </row>
    <row r="1027" spans="4:25">
      <c r="D1027">
        <v>30497</v>
      </c>
      <c r="Y1027">
        <v>30497</v>
      </c>
    </row>
    <row r="1028" spans="4:25">
      <c r="D1028">
        <v>30528</v>
      </c>
      <c r="Y1028">
        <v>30528</v>
      </c>
    </row>
    <row r="1029" spans="4:25">
      <c r="D1029">
        <v>30559</v>
      </c>
      <c r="Y1029">
        <v>30559</v>
      </c>
    </row>
    <row r="1030" spans="4:25">
      <c r="D1030">
        <v>30589</v>
      </c>
      <c r="Y1030">
        <v>30589</v>
      </c>
    </row>
    <row r="1031" spans="4:25">
      <c r="D1031">
        <v>30620</v>
      </c>
      <c r="Y1031">
        <v>30620</v>
      </c>
    </row>
    <row r="1032" spans="4:25">
      <c r="D1032">
        <v>30650</v>
      </c>
      <c r="Y1032">
        <v>30650</v>
      </c>
    </row>
    <row r="1033" spans="4:25">
      <c r="D1033">
        <v>30681</v>
      </c>
      <c r="Y1033">
        <v>30681</v>
      </c>
    </row>
    <row r="1034" spans="4:25">
      <c r="D1034">
        <v>30712</v>
      </c>
      <c r="Y1034">
        <v>30712</v>
      </c>
    </row>
    <row r="1035" spans="4:25">
      <c r="D1035">
        <v>30740</v>
      </c>
      <c r="Y1035">
        <v>30740</v>
      </c>
    </row>
    <row r="1036" spans="4:25">
      <c r="D1036">
        <v>30771</v>
      </c>
      <c r="Y1036">
        <v>30771</v>
      </c>
    </row>
    <row r="1037" spans="4:25">
      <c r="D1037">
        <v>30801</v>
      </c>
      <c r="Y1037">
        <v>30801</v>
      </c>
    </row>
    <row r="1038" spans="4:25">
      <c r="D1038">
        <v>30832</v>
      </c>
      <c r="Y1038">
        <v>30832</v>
      </c>
    </row>
    <row r="1039" spans="4:25">
      <c r="D1039">
        <v>30862</v>
      </c>
      <c r="Y1039">
        <v>30862</v>
      </c>
    </row>
    <row r="1040" spans="4:25">
      <c r="D1040">
        <v>30893</v>
      </c>
      <c r="Y1040">
        <v>30893</v>
      </c>
    </row>
    <row r="1041" spans="4:25">
      <c r="D1041">
        <v>30924</v>
      </c>
      <c r="Y1041">
        <v>30924</v>
      </c>
    </row>
    <row r="1042" spans="4:25">
      <c r="D1042">
        <v>30954</v>
      </c>
      <c r="Y1042">
        <v>30954</v>
      </c>
    </row>
    <row r="1043" spans="4:25">
      <c r="D1043">
        <v>30985</v>
      </c>
      <c r="Y1043">
        <v>30985</v>
      </c>
    </row>
    <row r="1044" spans="4:25">
      <c r="D1044">
        <v>31015</v>
      </c>
      <c r="Y1044">
        <v>31015</v>
      </c>
    </row>
    <row r="1045" spans="4:25">
      <c r="D1045">
        <v>31046</v>
      </c>
      <c r="Y1045">
        <v>31046</v>
      </c>
    </row>
    <row r="1046" spans="4:25">
      <c r="D1046">
        <v>31077</v>
      </c>
      <c r="Y1046">
        <v>31077</v>
      </c>
    </row>
    <row r="1047" spans="4:25">
      <c r="D1047">
        <v>31105</v>
      </c>
      <c r="Y1047">
        <v>31105</v>
      </c>
    </row>
    <row r="1048" spans="4:25">
      <c r="D1048">
        <v>31136</v>
      </c>
      <c r="Y1048">
        <v>31136</v>
      </c>
    </row>
    <row r="1049" spans="4:25">
      <c r="D1049">
        <v>31166</v>
      </c>
      <c r="Y1049">
        <v>31166</v>
      </c>
    </row>
    <row r="1050" spans="4:25">
      <c r="D1050">
        <v>31197</v>
      </c>
      <c r="Y1050">
        <v>31197</v>
      </c>
    </row>
    <row r="1051" spans="4:25">
      <c r="D1051">
        <v>31227</v>
      </c>
      <c r="Y1051">
        <v>31227</v>
      </c>
    </row>
    <row r="1052" spans="4:25">
      <c r="D1052">
        <v>31258</v>
      </c>
      <c r="Y1052">
        <v>31258</v>
      </c>
    </row>
    <row r="1053" spans="4:25">
      <c r="D1053">
        <v>31289</v>
      </c>
      <c r="Y1053">
        <v>31289</v>
      </c>
    </row>
    <row r="1054" spans="4:25">
      <c r="D1054">
        <v>31319</v>
      </c>
      <c r="Y1054">
        <v>31319</v>
      </c>
    </row>
    <row r="1055" spans="4:25">
      <c r="D1055">
        <v>31350</v>
      </c>
      <c r="Y1055">
        <v>31350</v>
      </c>
    </row>
    <row r="1056" spans="4:25">
      <c r="D1056">
        <v>31380</v>
      </c>
      <c r="Y1056">
        <v>31380</v>
      </c>
    </row>
    <row r="1057" spans="4:25">
      <c r="D1057">
        <v>31411</v>
      </c>
      <c r="Y1057">
        <v>31411</v>
      </c>
    </row>
    <row r="1058" spans="4:25">
      <c r="D1058">
        <v>31442</v>
      </c>
      <c r="Y1058">
        <v>31442</v>
      </c>
    </row>
    <row r="1059" spans="4:25">
      <c r="D1059">
        <v>31470</v>
      </c>
      <c r="Y1059">
        <v>31470</v>
      </c>
    </row>
    <row r="1060" spans="4:25">
      <c r="D1060">
        <v>31501</v>
      </c>
      <c r="Y1060">
        <v>31501</v>
      </c>
    </row>
    <row r="1061" spans="4:25">
      <c r="D1061">
        <v>31531</v>
      </c>
      <c r="Y1061">
        <v>31531</v>
      </c>
    </row>
    <row r="1062" spans="4:25">
      <c r="D1062">
        <v>31562</v>
      </c>
      <c r="Y1062">
        <v>31562</v>
      </c>
    </row>
    <row r="1063" spans="4:25">
      <c r="D1063">
        <v>31592</v>
      </c>
      <c r="Y1063">
        <v>31592</v>
      </c>
    </row>
    <row r="1064" spans="4:25">
      <c r="D1064">
        <v>31623</v>
      </c>
      <c r="Y1064">
        <v>31623</v>
      </c>
    </row>
    <row r="1065" spans="4:25">
      <c r="D1065">
        <v>31654</v>
      </c>
      <c r="Y1065">
        <v>31654</v>
      </c>
    </row>
    <row r="1066" spans="4:25">
      <c r="D1066">
        <v>31684</v>
      </c>
      <c r="Y1066">
        <v>31684</v>
      </c>
    </row>
    <row r="1067" spans="4:25">
      <c r="D1067">
        <v>31715</v>
      </c>
      <c r="Y1067">
        <v>31715</v>
      </c>
    </row>
    <row r="1068" spans="4:25">
      <c r="D1068">
        <v>31745</v>
      </c>
      <c r="Y1068">
        <v>31745</v>
      </c>
    </row>
    <row r="1069" spans="4:25">
      <c r="D1069">
        <v>31776</v>
      </c>
      <c r="Y1069">
        <v>31776</v>
      </c>
    </row>
    <row r="1070" spans="4:25">
      <c r="D1070">
        <v>31807</v>
      </c>
      <c r="Y1070">
        <v>31807</v>
      </c>
    </row>
    <row r="1071" spans="4:25">
      <c r="D1071">
        <v>31836</v>
      </c>
      <c r="Y1071">
        <v>31836</v>
      </c>
    </row>
    <row r="1072" spans="4:25">
      <c r="D1072">
        <v>31867</v>
      </c>
      <c r="Y1072">
        <v>31867</v>
      </c>
    </row>
    <row r="1073" spans="4:25">
      <c r="D1073">
        <v>31897</v>
      </c>
      <c r="Y1073">
        <v>31897</v>
      </c>
    </row>
    <row r="1074" spans="4:25">
      <c r="D1074">
        <v>31928</v>
      </c>
      <c r="Y1074">
        <v>31928</v>
      </c>
    </row>
    <row r="1075" spans="4:25">
      <c r="D1075">
        <v>31958</v>
      </c>
      <c r="Y1075">
        <v>31958</v>
      </c>
    </row>
    <row r="1076" spans="4:25">
      <c r="D1076">
        <v>31989</v>
      </c>
      <c r="Y1076">
        <v>31989</v>
      </c>
    </row>
    <row r="1077" spans="4:25">
      <c r="D1077">
        <v>32020</v>
      </c>
      <c r="Y1077">
        <v>32020</v>
      </c>
    </row>
    <row r="1078" spans="4:25">
      <c r="D1078">
        <v>32050</v>
      </c>
      <c r="Y1078">
        <v>32050</v>
      </c>
    </row>
    <row r="1079" spans="4:25">
      <c r="D1079">
        <v>32081</v>
      </c>
      <c r="Y1079">
        <v>32081</v>
      </c>
    </row>
    <row r="1080" spans="4:25">
      <c r="D1080">
        <v>32111</v>
      </c>
      <c r="Y1080">
        <v>32111</v>
      </c>
    </row>
    <row r="1081" spans="4:25">
      <c r="D1081">
        <v>32142</v>
      </c>
      <c r="Y1081">
        <v>32142</v>
      </c>
    </row>
    <row r="1082" spans="4:25">
      <c r="D1082">
        <v>32173</v>
      </c>
      <c r="Y1082">
        <v>32173</v>
      </c>
    </row>
    <row r="1083" spans="4:25">
      <c r="D1083">
        <v>32201</v>
      </c>
      <c r="Y1083">
        <v>32201</v>
      </c>
    </row>
    <row r="1084" spans="4:25">
      <c r="D1084">
        <v>32232</v>
      </c>
      <c r="Y1084">
        <v>32232</v>
      </c>
    </row>
    <row r="1085" spans="4:25">
      <c r="D1085">
        <v>32262</v>
      </c>
      <c r="Y1085">
        <v>32262</v>
      </c>
    </row>
    <row r="1086" spans="4:25">
      <c r="D1086">
        <v>32293</v>
      </c>
      <c r="Y1086">
        <v>32293</v>
      </c>
    </row>
    <row r="1087" spans="4:25">
      <c r="D1087">
        <v>32323</v>
      </c>
      <c r="Y1087">
        <v>32323</v>
      </c>
    </row>
    <row r="1088" spans="4:25">
      <c r="D1088">
        <v>32354</v>
      </c>
      <c r="Y1088">
        <v>32354</v>
      </c>
    </row>
    <row r="1089" spans="4:25">
      <c r="D1089">
        <v>32385</v>
      </c>
      <c r="Y1089">
        <v>32385</v>
      </c>
    </row>
    <row r="1090" spans="4:25">
      <c r="D1090">
        <v>32415</v>
      </c>
      <c r="Y1090">
        <v>32415</v>
      </c>
    </row>
    <row r="1091" spans="4:25">
      <c r="D1091">
        <v>32446</v>
      </c>
      <c r="Y1091">
        <v>32446</v>
      </c>
    </row>
    <row r="1092" spans="4:25">
      <c r="D1092">
        <v>32476</v>
      </c>
      <c r="Y1092">
        <v>32476</v>
      </c>
    </row>
    <row r="1093" spans="4:25">
      <c r="D1093">
        <v>32507</v>
      </c>
      <c r="Y1093">
        <v>32507</v>
      </c>
    </row>
    <row r="1094" spans="4:25">
      <c r="D1094">
        <v>32538</v>
      </c>
      <c r="Y1094">
        <v>32538</v>
      </c>
    </row>
    <row r="1095" spans="4:25">
      <c r="D1095">
        <v>32566</v>
      </c>
      <c r="Y1095">
        <v>32566</v>
      </c>
    </row>
    <row r="1096" spans="4:25">
      <c r="D1096">
        <v>32597</v>
      </c>
      <c r="Y1096">
        <v>32597</v>
      </c>
    </row>
    <row r="1097" spans="4:25">
      <c r="D1097">
        <v>32627</v>
      </c>
      <c r="Y1097">
        <v>32627</v>
      </c>
    </row>
    <row r="1098" spans="4:25">
      <c r="D1098">
        <v>32658</v>
      </c>
      <c r="Y1098">
        <v>32658</v>
      </c>
    </row>
    <row r="1099" spans="4:25">
      <c r="D1099">
        <v>32688</v>
      </c>
      <c r="Y1099">
        <v>32688</v>
      </c>
    </row>
    <row r="1100" spans="4:25">
      <c r="D1100">
        <v>32719</v>
      </c>
      <c r="Y1100">
        <v>32719</v>
      </c>
    </row>
    <row r="1101" spans="4:25">
      <c r="D1101">
        <v>32750</v>
      </c>
      <c r="Y1101">
        <v>32750</v>
      </c>
    </row>
    <row r="1102" spans="4:25">
      <c r="D1102">
        <v>32780</v>
      </c>
      <c r="Y1102">
        <v>32780</v>
      </c>
    </row>
    <row r="1103" spans="4:25">
      <c r="D1103">
        <v>32811</v>
      </c>
      <c r="Y1103">
        <v>32811</v>
      </c>
    </row>
    <row r="1104" spans="4:25">
      <c r="D1104">
        <v>32841</v>
      </c>
      <c r="Y1104">
        <v>32841</v>
      </c>
    </row>
    <row r="1105" spans="4:25">
      <c r="D1105">
        <v>32872</v>
      </c>
      <c r="Y1105">
        <v>32872</v>
      </c>
    </row>
    <row r="1106" spans="4:25">
      <c r="D1106">
        <v>32903</v>
      </c>
      <c r="Y1106">
        <v>32903</v>
      </c>
    </row>
    <row r="1107" spans="4:25">
      <c r="D1107">
        <v>32931</v>
      </c>
      <c r="Y1107">
        <v>32931</v>
      </c>
    </row>
    <row r="1108" spans="4:25">
      <c r="D1108">
        <v>32962</v>
      </c>
      <c r="Y1108">
        <v>32962</v>
      </c>
    </row>
    <row r="1109" spans="4:25">
      <c r="D1109">
        <v>32992</v>
      </c>
      <c r="Y1109">
        <v>32992</v>
      </c>
    </row>
    <row r="1110" spans="4:25">
      <c r="D1110">
        <v>33023</v>
      </c>
      <c r="Y1110">
        <v>33023</v>
      </c>
    </row>
    <row r="1111" spans="4:25">
      <c r="D1111">
        <v>33053</v>
      </c>
      <c r="Y1111">
        <v>33053</v>
      </c>
    </row>
    <row r="1112" spans="4:25">
      <c r="D1112">
        <v>33084</v>
      </c>
      <c r="Y1112">
        <v>33084</v>
      </c>
    </row>
    <row r="1113" spans="4:25">
      <c r="D1113">
        <v>33115</v>
      </c>
      <c r="Y1113">
        <v>33115</v>
      </c>
    </row>
    <row r="1114" spans="4:25">
      <c r="D1114">
        <v>33145</v>
      </c>
      <c r="Y1114">
        <v>33145</v>
      </c>
    </row>
    <row r="1115" spans="4:25">
      <c r="D1115">
        <v>33176</v>
      </c>
      <c r="Y1115">
        <v>33176</v>
      </c>
    </row>
    <row r="1116" spans="4:25">
      <c r="D1116">
        <v>33206</v>
      </c>
      <c r="Y1116">
        <v>33206</v>
      </c>
    </row>
    <row r="1117" spans="4:25">
      <c r="D1117">
        <v>33237</v>
      </c>
      <c r="Y1117">
        <v>33237</v>
      </c>
    </row>
    <row r="1118" spans="4:25">
      <c r="D1118">
        <v>33268</v>
      </c>
      <c r="Y1118">
        <v>33268</v>
      </c>
    </row>
    <row r="1119" spans="4:25">
      <c r="D1119">
        <v>33296</v>
      </c>
      <c r="Y1119">
        <v>33296</v>
      </c>
    </row>
    <row r="1120" spans="4:25">
      <c r="D1120">
        <v>33327</v>
      </c>
      <c r="Y1120">
        <v>33327</v>
      </c>
    </row>
    <row r="1121" spans="4:25">
      <c r="D1121">
        <v>33357</v>
      </c>
      <c r="Y1121">
        <v>33357</v>
      </c>
    </row>
    <row r="1122" spans="4:25">
      <c r="D1122">
        <v>33388</v>
      </c>
      <c r="Y1122">
        <v>33388</v>
      </c>
    </row>
    <row r="1123" spans="4:25">
      <c r="D1123">
        <v>33418</v>
      </c>
      <c r="Y1123">
        <v>33418</v>
      </c>
    </row>
    <row r="1124" spans="4:25">
      <c r="D1124">
        <v>33449</v>
      </c>
      <c r="Y1124">
        <v>33449</v>
      </c>
    </row>
    <row r="1125" spans="4:25">
      <c r="D1125">
        <v>33480</v>
      </c>
      <c r="Y1125">
        <v>33480</v>
      </c>
    </row>
    <row r="1126" spans="4:25">
      <c r="D1126">
        <v>33510</v>
      </c>
      <c r="Y1126">
        <v>33510</v>
      </c>
    </row>
    <row r="1127" spans="4:25">
      <c r="D1127">
        <v>33541</v>
      </c>
      <c r="Y1127">
        <v>33541</v>
      </c>
    </row>
    <row r="1128" spans="4:25">
      <c r="D1128">
        <v>33571</v>
      </c>
      <c r="Y1128">
        <v>33571</v>
      </c>
    </row>
    <row r="1129" spans="4:25">
      <c r="D1129">
        <v>33602</v>
      </c>
      <c r="Y1129">
        <v>33602</v>
      </c>
    </row>
    <row r="1130" spans="4:25">
      <c r="D1130">
        <v>33633</v>
      </c>
      <c r="Y1130">
        <v>33633</v>
      </c>
    </row>
    <row r="1131" spans="4:25">
      <c r="D1131">
        <v>33661</v>
      </c>
      <c r="Y1131">
        <v>33661</v>
      </c>
    </row>
    <row r="1132" spans="4:25">
      <c r="D1132">
        <v>33692</v>
      </c>
      <c r="Y1132">
        <v>33692</v>
      </c>
    </row>
    <row r="1133" spans="4:25">
      <c r="D1133">
        <v>33722</v>
      </c>
      <c r="Y1133">
        <v>33722</v>
      </c>
    </row>
    <row r="1134" spans="4:25">
      <c r="D1134">
        <v>33753</v>
      </c>
      <c r="Y1134">
        <v>33753</v>
      </c>
    </row>
    <row r="1135" spans="4:25">
      <c r="D1135">
        <v>33783</v>
      </c>
      <c r="Y1135">
        <v>33783</v>
      </c>
    </row>
    <row r="1136" spans="4:25">
      <c r="D1136">
        <v>33813</v>
      </c>
      <c r="Y1136">
        <v>33813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I106"/>
  <sheetViews>
    <sheetView topLeftCell="B1" zoomScale="56" zoomScaleNormal="56" workbookViewId="0">
      <selection activeCell="C15" sqref="C15:E19"/>
    </sheetView>
  </sheetViews>
  <sheetFormatPr defaultRowHeight="14.4"/>
  <cols>
    <col min="1" max="1" width="10.5546875" bestFit="1" customWidth="1"/>
    <col min="2" max="2" width="18.109375" customWidth="1"/>
    <col min="3" max="3" width="24.5546875" customWidth="1"/>
    <col min="4" max="4" width="16.109375" customWidth="1"/>
    <col min="5" max="5" width="11.109375" bestFit="1" customWidth="1"/>
    <col min="6" max="10" width="10.88671875" bestFit="1" customWidth="1"/>
    <col min="11" max="11" width="12" bestFit="1" customWidth="1"/>
  </cols>
  <sheetData>
    <row r="1" spans="3:35">
      <c r="C1" t="s">
        <v>35</v>
      </c>
      <c r="E1" s="8">
        <f>E2/E24</f>
        <v>1310.8847880322242</v>
      </c>
      <c r="F1" s="8">
        <f t="shared" ref="F1:K1" si="0">F2/F24</f>
        <v>1605.4994211277169</v>
      </c>
      <c r="G1" s="8">
        <f t="shared" si="0"/>
        <v>1954.1516644736373</v>
      </c>
      <c r="H1" s="8">
        <f t="shared" si="0"/>
        <v>2270.5190557409705</v>
      </c>
      <c r="I1" s="8">
        <f t="shared" si="0"/>
        <v>3210.9988422554338</v>
      </c>
      <c r="J1" s="8">
        <f t="shared" si="0"/>
        <v>6421.9976845108677</v>
      </c>
      <c r="K1" s="8">
        <f t="shared" si="0"/>
        <v>11724.909986841823</v>
      </c>
    </row>
    <row r="2" spans="3:35">
      <c r="C2" t="s">
        <v>34</v>
      </c>
      <c r="E2">
        <f>SQRT(E3/PI()*43560)</f>
        <v>429.97021047456957</v>
      </c>
      <c r="F2">
        <f t="shared" ref="F2:K2" si="1">SQRT(F3/PI()*43560)</f>
        <v>526.60381012989114</v>
      </c>
      <c r="G2">
        <f t="shared" si="1"/>
        <v>640.96174594735305</v>
      </c>
      <c r="H2">
        <f t="shared" si="1"/>
        <v>744.73025028303834</v>
      </c>
      <c r="I2">
        <f t="shared" si="1"/>
        <v>1053.2076202597823</v>
      </c>
      <c r="J2">
        <f t="shared" si="1"/>
        <v>2106.4152405195646</v>
      </c>
      <c r="K2">
        <f t="shared" si="1"/>
        <v>3845.7704756841185</v>
      </c>
    </row>
    <row r="3" spans="3:35">
      <c r="C3" t="s">
        <v>32</v>
      </c>
      <c r="E3" s="3">
        <f>E16*E17/43560</f>
        <v>13.333333333333334</v>
      </c>
      <c r="F3" s="3">
        <f t="shared" ref="F3:K3" si="2">F16*F17/43560</f>
        <v>20</v>
      </c>
      <c r="G3" s="3">
        <f t="shared" si="2"/>
        <v>29.629629629629626</v>
      </c>
      <c r="H3" s="3">
        <f t="shared" si="2"/>
        <v>40</v>
      </c>
      <c r="I3" s="3">
        <f t="shared" si="2"/>
        <v>80</v>
      </c>
      <c r="J3" s="3">
        <f t="shared" si="2"/>
        <v>320</v>
      </c>
      <c r="K3" s="3">
        <f t="shared" si="2"/>
        <v>1066.6666666666667</v>
      </c>
    </row>
    <row r="4" spans="3:35">
      <c r="E4" s="4">
        <v>12</v>
      </c>
      <c r="F4" s="4">
        <v>8</v>
      </c>
      <c r="G4" s="4">
        <v>5.4</v>
      </c>
      <c r="H4" s="4">
        <v>4</v>
      </c>
      <c r="I4" s="4">
        <v>2</v>
      </c>
      <c r="J4" s="4">
        <v>0.5</v>
      </c>
      <c r="K4" s="4">
        <v>0.15</v>
      </c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</row>
    <row r="5" spans="3:35">
      <c r="C5" s="1" t="s">
        <v>0</v>
      </c>
      <c r="D5" s="1" t="s">
        <v>31</v>
      </c>
      <c r="E5" s="4">
        <f>5280/E4</f>
        <v>440</v>
      </c>
      <c r="F5" s="4">
        <f t="shared" ref="F5:K5" si="3">5280/F4</f>
        <v>660</v>
      </c>
      <c r="G5" s="4">
        <f t="shared" si="3"/>
        <v>977.77777777777771</v>
      </c>
      <c r="H5" s="4">
        <f t="shared" si="3"/>
        <v>1320</v>
      </c>
      <c r="I5" s="4">
        <f t="shared" si="3"/>
        <v>2640</v>
      </c>
      <c r="J5" s="4">
        <f t="shared" si="3"/>
        <v>10560</v>
      </c>
      <c r="K5" s="4">
        <f t="shared" si="3"/>
        <v>35200</v>
      </c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</row>
    <row r="6" spans="3:35">
      <c r="C6" t="s">
        <v>1</v>
      </c>
      <c r="D6" t="s">
        <v>2</v>
      </c>
      <c r="E6" s="4">
        <v>700</v>
      </c>
      <c r="F6" s="4">
        <f>E6</f>
        <v>700</v>
      </c>
      <c r="G6" s="4">
        <f t="shared" ref="G6:K7" si="4">F6</f>
        <v>700</v>
      </c>
      <c r="H6" s="4">
        <f t="shared" si="4"/>
        <v>700</v>
      </c>
      <c r="I6" s="4">
        <f t="shared" si="4"/>
        <v>700</v>
      </c>
      <c r="J6" s="4">
        <f t="shared" si="4"/>
        <v>700</v>
      </c>
      <c r="K6" s="4">
        <f t="shared" si="4"/>
        <v>700</v>
      </c>
      <c r="L6" s="2"/>
      <c r="M6" s="2"/>
      <c r="N6" s="2"/>
      <c r="O6" s="2"/>
      <c r="P6" s="2"/>
      <c r="Q6" s="2"/>
      <c r="W6" t="s">
        <v>46</v>
      </c>
      <c r="X6" s="10"/>
      <c r="Y6" s="10"/>
      <c r="Z6" s="13">
        <v>1</v>
      </c>
      <c r="AA6" s="10"/>
      <c r="AB6" s="10"/>
      <c r="AC6" s="10"/>
      <c r="AD6" s="10"/>
      <c r="AE6" s="10"/>
      <c r="AF6" s="10"/>
      <c r="AG6" s="10"/>
      <c r="AH6" s="10"/>
      <c r="AI6" s="10"/>
    </row>
    <row r="7" spans="3:35">
      <c r="C7" t="s">
        <v>3</v>
      </c>
      <c r="D7" t="s">
        <v>2</v>
      </c>
      <c r="E7" s="4">
        <v>50</v>
      </c>
      <c r="F7" s="4">
        <f>E7</f>
        <v>50</v>
      </c>
      <c r="G7" s="4">
        <f t="shared" si="4"/>
        <v>50</v>
      </c>
      <c r="H7" s="4">
        <f t="shared" si="4"/>
        <v>50</v>
      </c>
      <c r="I7" s="4">
        <f t="shared" si="4"/>
        <v>50</v>
      </c>
      <c r="J7" s="4">
        <f t="shared" si="4"/>
        <v>50</v>
      </c>
      <c r="K7" s="4">
        <f t="shared" si="4"/>
        <v>50</v>
      </c>
      <c r="L7" s="2"/>
      <c r="M7" s="2"/>
      <c r="N7" s="2"/>
      <c r="O7" s="2"/>
      <c r="P7" s="2"/>
      <c r="Q7" s="2"/>
      <c r="W7" s="10" t="s">
        <v>38</v>
      </c>
      <c r="X7" s="10"/>
      <c r="Y7" s="11" t="s">
        <v>39</v>
      </c>
      <c r="Z7" s="11"/>
      <c r="AA7" s="10"/>
      <c r="AB7" s="10"/>
      <c r="AC7" s="10"/>
      <c r="AD7" s="10"/>
      <c r="AE7" s="10"/>
      <c r="AF7" s="10"/>
      <c r="AG7" s="10"/>
      <c r="AH7" s="10"/>
      <c r="AI7" s="10"/>
    </row>
    <row r="8" spans="3:35">
      <c r="C8" t="s">
        <v>4</v>
      </c>
      <c r="D8" t="s">
        <v>5</v>
      </c>
      <c r="E8" s="4">
        <v>2</v>
      </c>
      <c r="F8" s="4">
        <v>2</v>
      </c>
      <c r="G8" s="4">
        <v>2</v>
      </c>
      <c r="H8" s="4">
        <v>2</v>
      </c>
      <c r="I8" s="4">
        <v>2</v>
      </c>
      <c r="J8" s="4">
        <v>2</v>
      </c>
      <c r="K8" s="4">
        <v>2</v>
      </c>
      <c r="L8" s="2"/>
      <c r="M8" s="2"/>
      <c r="N8" s="2"/>
      <c r="O8" s="2"/>
      <c r="P8" s="2"/>
      <c r="Q8" s="2"/>
      <c r="W8" s="11" t="s">
        <v>43</v>
      </c>
      <c r="X8" s="11" t="s">
        <v>44</v>
      </c>
      <c r="Y8" s="11" t="s">
        <v>41</v>
      </c>
      <c r="Z8" s="11" t="s">
        <v>42</v>
      </c>
      <c r="AA8" s="10" t="s">
        <v>40</v>
      </c>
      <c r="AB8" s="10"/>
      <c r="AC8" s="10"/>
      <c r="AD8" s="10"/>
      <c r="AE8" s="10"/>
      <c r="AF8" s="10"/>
      <c r="AG8" s="10"/>
      <c r="AH8" s="10"/>
      <c r="AI8" s="10"/>
    </row>
    <row r="9" spans="3:35">
      <c r="C9" t="s">
        <v>6</v>
      </c>
      <c r="D9" t="s">
        <v>7</v>
      </c>
      <c r="E9" s="4">
        <v>0.15</v>
      </c>
      <c r="F9" s="4">
        <f>E9</f>
        <v>0.15</v>
      </c>
      <c r="G9" s="4">
        <f t="shared" ref="G9:K23" si="5">F9</f>
        <v>0.15</v>
      </c>
      <c r="H9" s="4">
        <f t="shared" si="5"/>
        <v>0.15</v>
      </c>
      <c r="I9" s="4">
        <f t="shared" si="5"/>
        <v>0.15</v>
      </c>
      <c r="J9" s="4">
        <f t="shared" si="5"/>
        <v>0.15</v>
      </c>
      <c r="K9" s="4">
        <f t="shared" si="5"/>
        <v>0.15</v>
      </c>
      <c r="L9" s="2"/>
      <c r="M9" s="2"/>
      <c r="N9" s="2"/>
      <c r="O9" s="2"/>
      <c r="P9" s="2"/>
      <c r="Q9" s="2"/>
      <c r="W9" s="11">
        <v>0</v>
      </c>
      <c r="X9" s="11">
        <v>0</v>
      </c>
      <c r="Y9" s="11">
        <f>INDEX(Xw,1,$Z$6)</f>
        <v>220</v>
      </c>
      <c r="Z9" s="11">
        <f>INDEX(Yw,1,$Z$6)</f>
        <v>660</v>
      </c>
      <c r="AA9" s="10">
        <f>Y9-INDEX(xf,1,$Z$6)</f>
        <v>217</v>
      </c>
      <c r="AB9" s="10">
        <f>Z9</f>
        <v>660</v>
      </c>
      <c r="AC9" s="10"/>
      <c r="AD9" s="10"/>
      <c r="AE9" s="10"/>
      <c r="AF9" s="10"/>
      <c r="AG9" s="10"/>
      <c r="AH9" s="10"/>
      <c r="AI9" s="10"/>
    </row>
    <row r="10" spans="3:35">
      <c r="C10" t="s">
        <v>8</v>
      </c>
      <c r="D10" t="s">
        <v>9</v>
      </c>
      <c r="E10" s="4">
        <v>0.185</v>
      </c>
      <c r="F10" s="4">
        <f t="shared" ref="F10:F23" si="6">E10</f>
        <v>0.185</v>
      </c>
      <c r="G10" s="4">
        <f t="shared" si="5"/>
        <v>0.185</v>
      </c>
      <c r="H10" s="4">
        <f t="shared" si="5"/>
        <v>0.185</v>
      </c>
      <c r="I10" s="4">
        <f t="shared" si="5"/>
        <v>0.185</v>
      </c>
      <c r="J10" s="4">
        <f t="shared" si="5"/>
        <v>0.185</v>
      </c>
      <c r="K10" s="4">
        <f t="shared" si="5"/>
        <v>0.185</v>
      </c>
      <c r="L10" s="2"/>
      <c r="M10" s="2"/>
      <c r="N10" s="2"/>
      <c r="O10" s="2"/>
      <c r="P10" s="2"/>
      <c r="Q10" s="2"/>
      <c r="W10" s="11">
        <f>INDEX(Xe,1,$Z$6)</f>
        <v>440</v>
      </c>
      <c r="X10" s="11">
        <v>0</v>
      </c>
      <c r="Y10" s="10"/>
      <c r="Z10" s="10"/>
      <c r="AA10" s="10">
        <f>Y9+INDEX(xf,1,$Z$6)</f>
        <v>223</v>
      </c>
      <c r="AB10" s="10">
        <f>Z9</f>
        <v>660</v>
      </c>
      <c r="AC10" s="10"/>
      <c r="AD10" s="10"/>
      <c r="AE10" s="10"/>
      <c r="AF10" s="10"/>
      <c r="AG10" s="10"/>
      <c r="AH10" s="10"/>
      <c r="AI10" s="10"/>
    </row>
    <row r="11" spans="3:35">
      <c r="C11" t="s">
        <v>10</v>
      </c>
      <c r="D11" t="s">
        <v>11</v>
      </c>
      <c r="E11" s="4">
        <v>2.6999999999999999E-5</v>
      </c>
      <c r="F11" s="4">
        <f t="shared" si="6"/>
        <v>2.6999999999999999E-5</v>
      </c>
      <c r="G11" s="4">
        <f t="shared" si="5"/>
        <v>2.6999999999999999E-5</v>
      </c>
      <c r="H11" s="4">
        <f t="shared" si="5"/>
        <v>2.6999999999999999E-5</v>
      </c>
      <c r="I11" s="4">
        <f t="shared" si="5"/>
        <v>2.6999999999999999E-5</v>
      </c>
      <c r="J11" s="4">
        <f t="shared" si="5"/>
        <v>2.6999999999999999E-5</v>
      </c>
      <c r="K11" s="4">
        <f t="shared" si="5"/>
        <v>2.6999999999999999E-5</v>
      </c>
      <c r="L11" s="2"/>
      <c r="M11" s="2"/>
      <c r="N11" s="2"/>
      <c r="O11" s="2"/>
      <c r="P11" s="2"/>
      <c r="Q11" s="2"/>
      <c r="W11" s="11">
        <f>W10</f>
        <v>440</v>
      </c>
      <c r="X11" s="11">
        <f>INDEX(Ye,1,$Z$6)</f>
        <v>1320</v>
      </c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</row>
    <row r="12" spans="3:35">
      <c r="C12" t="s">
        <v>12</v>
      </c>
      <c r="D12" t="s">
        <v>13</v>
      </c>
      <c r="E12" s="4">
        <v>1.3</v>
      </c>
      <c r="F12" s="4">
        <f t="shared" si="6"/>
        <v>1.3</v>
      </c>
      <c r="G12" s="4">
        <f t="shared" si="5"/>
        <v>1.3</v>
      </c>
      <c r="H12" s="4">
        <f t="shared" si="5"/>
        <v>1.3</v>
      </c>
      <c r="I12" s="4">
        <f t="shared" si="5"/>
        <v>1.3</v>
      </c>
      <c r="J12" s="4">
        <f t="shared" si="5"/>
        <v>1.3</v>
      </c>
      <c r="K12" s="4">
        <f t="shared" si="5"/>
        <v>1.3</v>
      </c>
      <c r="L12" s="2"/>
      <c r="M12" s="2"/>
      <c r="N12" s="2"/>
      <c r="O12" s="2"/>
      <c r="P12" s="2"/>
      <c r="Q12" s="2"/>
      <c r="W12" s="11">
        <v>0</v>
      </c>
      <c r="X12" s="11">
        <f>X11</f>
        <v>1320</v>
      </c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</row>
    <row r="13" spans="3:35">
      <c r="C13" t="s">
        <v>14</v>
      </c>
      <c r="D13" t="s">
        <v>15</v>
      </c>
      <c r="E13" s="4">
        <v>12</v>
      </c>
      <c r="F13" s="4">
        <f t="shared" si="6"/>
        <v>12</v>
      </c>
      <c r="G13" s="4">
        <f t="shared" si="5"/>
        <v>12</v>
      </c>
      <c r="H13" s="4">
        <f t="shared" si="5"/>
        <v>12</v>
      </c>
      <c r="I13" s="4">
        <f t="shared" si="5"/>
        <v>12</v>
      </c>
      <c r="J13" s="4">
        <f t="shared" si="5"/>
        <v>12</v>
      </c>
      <c r="K13" s="4">
        <f t="shared" si="5"/>
        <v>12</v>
      </c>
      <c r="L13" s="2"/>
      <c r="M13" s="2"/>
      <c r="N13" s="2"/>
      <c r="O13" s="2"/>
      <c r="P13" s="2"/>
      <c r="Q13" s="2"/>
      <c r="W13" s="11">
        <v>0</v>
      </c>
      <c r="X13" s="11">
        <v>0</v>
      </c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</row>
    <row r="14" spans="3:35">
      <c r="C14" t="s">
        <v>29</v>
      </c>
      <c r="D14" t="s">
        <v>15</v>
      </c>
      <c r="E14" s="4">
        <v>0.32800000000000001</v>
      </c>
      <c r="F14" s="4">
        <f t="shared" si="6"/>
        <v>0.32800000000000001</v>
      </c>
      <c r="G14" s="4">
        <f t="shared" si="5"/>
        <v>0.32800000000000001</v>
      </c>
      <c r="H14" s="4">
        <f t="shared" si="5"/>
        <v>0.32800000000000001</v>
      </c>
      <c r="I14" s="4">
        <f t="shared" si="5"/>
        <v>0.32800000000000001</v>
      </c>
      <c r="J14" s="4">
        <f t="shared" si="5"/>
        <v>0.32800000000000001</v>
      </c>
      <c r="K14" s="4">
        <f t="shared" si="5"/>
        <v>0.32800000000000001</v>
      </c>
      <c r="L14" s="2"/>
      <c r="M14" s="2"/>
      <c r="N14" s="2"/>
      <c r="O14" s="2"/>
      <c r="P14" s="2"/>
      <c r="Q14" s="2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</row>
    <row r="15" spans="3:35">
      <c r="C15" t="s">
        <v>16</v>
      </c>
      <c r="D15" t="s">
        <v>15</v>
      </c>
      <c r="E15" s="4">
        <v>3</v>
      </c>
      <c r="F15" s="4">
        <v>3</v>
      </c>
      <c r="G15" s="4">
        <v>3</v>
      </c>
      <c r="H15" s="4">
        <v>3</v>
      </c>
      <c r="I15" s="4">
        <v>3</v>
      </c>
      <c r="J15" s="4">
        <v>3</v>
      </c>
      <c r="K15" s="4">
        <v>3</v>
      </c>
      <c r="L15" s="2"/>
      <c r="M15" s="2"/>
      <c r="N15" s="2"/>
      <c r="O15" s="2"/>
      <c r="P15" s="2"/>
      <c r="Q15" s="2"/>
      <c r="W15" s="12" t="s">
        <v>32</v>
      </c>
      <c r="X15" s="11">
        <f>W11*X11/43560</f>
        <v>13.333333333333334</v>
      </c>
      <c r="Y15" s="12" t="s">
        <v>45</v>
      </c>
      <c r="Z15" s="10"/>
      <c r="AA15" s="10"/>
      <c r="AB15" s="10"/>
      <c r="AC15" s="10"/>
      <c r="AD15" s="10"/>
      <c r="AE15" s="10"/>
      <c r="AF15" s="10"/>
      <c r="AG15" s="10"/>
      <c r="AH15" s="10"/>
      <c r="AI15" s="10"/>
    </row>
    <row r="16" spans="3:35">
      <c r="C16" t="s">
        <v>17</v>
      </c>
      <c r="D16" t="s">
        <v>15</v>
      </c>
      <c r="E16" s="4">
        <f>E5</f>
        <v>440</v>
      </c>
      <c r="F16" s="4">
        <f t="shared" ref="F16:K16" si="7">F5</f>
        <v>660</v>
      </c>
      <c r="G16" s="4">
        <f t="shared" si="7"/>
        <v>977.77777777777771</v>
      </c>
      <c r="H16" s="4">
        <f t="shared" si="7"/>
        <v>1320</v>
      </c>
      <c r="I16" s="4">
        <f t="shared" si="7"/>
        <v>2640</v>
      </c>
      <c r="J16" s="4">
        <f t="shared" si="7"/>
        <v>10560</v>
      </c>
      <c r="K16" s="4">
        <f t="shared" si="7"/>
        <v>35200</v>
      </c>
      <c r="L16" s="2"/>
      <c r="M16" s="2"/>
      <c r="N16" s="2"/>
      <c r="O16" s="2"/>
      <c r="P16" s="2"/>
      <c r="Q16" s="2"/>
      <c r="W16" s="10" t="str">
        <f>"Model Geometry &amp; Well Location" &amp;CHAR(13)&amp; "Area: " &amp; ROUND(X15,0) &amp; "Acres"</f>
        <v>Model Geometry &amp; Well Location_x000D_Area: 13Acres</v>
      </c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</row>
    <row r="17" spans="1:35">
      <c r="C17" t="s">
        <v>18</v>
      </c>
      <c r="D17" t="s">
        <v>15</v>
      </c>
      <c r="E17" s="4">
        <f>5280/4</f>
        <v>1320</v>
      </c>
      <c r="F17" s="4">
        <f t="shared" si="6"/>
        <v>1320</v>
      </c>
      <c r="G17" s="4">
        <f t="shared" si="5"/>
        <v>1320</v>
      </c>
      <c r="H17" s="4">
        <f t="shared" si="5"/>
        <v>1320</v>
      </c>
      <c r="I17" s="4">
        <f t="shared" si="5"/>
        <v>1320</v>
      </c>
      <c r="J17" s="4">
        <f t="shared" si="5"/>
        <v>1320</v>
      </c>
      <c r="K17" s="4">
        <f t="shared" si="5"/>
        <v>1320</v>
      </c>
      <c r="L17" s="2"/>
      <c r="M17" s="2"/>
      <c r="N17" s="2"/>
      <c r="O17" s="2"/>
      <c r="P17" s="2"/>
      <c r="Q17" s="2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</row>
    <row r="18" spans="1:35">
      <c r="C18" t="s">
        <v>19</v>
      </c>
      <c r="D18" t="s">
        <v>15</v>
      </c>
      <c r="E18" s="4">
        <f t="shared" ref="E18:K18" si="8">Xe/2</f>
        <v>220</v>
      </c>
      <c r="F18" s="4">
        <f t="shared" si="8"/>
        <v>330</v>
      </c>
      <c r="G18" s="4">
        <f t="shared" si="8"/>
        <v>488.88888888888886</v>
      </c>
      <c r="H18" s="4">
        <f t="shared" si="8"/>
        <v>660</v>
      </c>
      <c r="I18" s="4">
        <f t="shared" si="8"/>
        <v>1320</v>
      </c>
      <c r="J18" s="4">
        <f t="shared" si="8"/>
        <v>5280</v>
      </c>
      <c r="K18" s="4">
        <f t="shared" si="8"/>
        <v>17600</v>
      </c>
      <c r="L18" s="2"/>
      <c r="M18" s="2"/>
      <c r="N18" s="2"/>
      <c r="O18" s="2"/>
      <c r="P18" s="2"/>
      <c r="Q18" s="2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</row>
    <row r="19" spans="1:35">
      <c r="C19" t="s">
        <v>20</v>
      </c>
      <c r="D19" t="s">
        <v>15</v>
      </c>
      <c r="E19" s="4">
        <f>5280/8</f>
        <v>660</v>
      </c>
      <c r="F19" s="4">
        <f t="shared" si="6"/>
        <v>660</v>
      </c>
      <c r="G19" s="4">
        <f t="shared" si="5"/>
        <v>660</v>
      </c>
      <c r="H19" s="4">
        <f t="shared" si="5"/>
        <v>660</v>
      </c>
      <c r="I19" s="4">
        <f t="shared" si="5"/>
        <v>660</v>
      </c>
      <c r="J19" s="4">
        <f t="shared" si="5"/>
        <v>660</v>
      </c>
      <c r="K19" s="4">
        <f t="shared" si="5"/>
        <v>660</v>
      </c>
      <c r="L19" s="2"/>
      <c r="M19" s="2"/>
      <c r="N19" s="2"/>
      <c r="O19" s="2"/>
      <c r="P19" s="2"/>
      <c r="Q19" s="2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</row>
    <row r="20" spans="1:35">
      <c r="C20" t="s">
        <v>21</v>
      </c>
      <c r="E20" s="4">
        <v>0</v>
      </c>
      <c r="F20" s="4">
        <f>E20</f>
        <v>0</v>
      </c>
      <c r="G20" s="4">
        <f t="shared" si="5"/>
        <v>0</v>
      </c>
      <c r="H20" s="4">
        <f t="shared" si="5"/>
        <v>0</v>
      </c>
      <c r="I20" s="4">
        <f t="shared" si="5"/>
        <v>0</v>
      </c>
      <c r="J20" s="4">
        <f t="shared" si="5"/>
        <v>0</v>
      </c>
      <c r="K20" s="4">
        <f t="shared" si="5"/>
        <v>0</v>
      </c>
      <c r="L20" s="2"/>
      <c r="M20" s="2"/>
      <c r="N20" s="2"/>
      <c r="O20" s="2"/>
      <c r="P20" s="2"/>
      <c r="Q20" s="2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</row>
    <row r="21" spans="1:35">
      <c r="C21" t="s">
        <v>22</v>
      </c>
      <c r="E21" s="4">
        <v>0</v>
      </c>
      <c r="F21" s="4">
        <f t="shared" si="6"/>
        <v>0</v>
      </c>
      <c r="G21" s="4">
        <f t="shared" si="5"/>
        <v>0</v>
      </c>
      <c r="H21" s="4">
        <f t="shared" si="5"/>
        <v>0</v>
      </c>
      <c r="I21" s="4">
        <f t="shared" si="5"/>
        <v>0</v>
      </c>
      <c r="J21" s="4">
        <f t="shared" si="5"/>
        <v>0</v>
      </c>
      <c r="K21" s="4">
        <f t="shared" si="5"/>
        <v>0</v>
      </c>
      <c r="L21" s="2"/>
      <c r="M21" s="2"/>
      <c r="N21" s="2"/>
      <c r="O21" s="2"/>
      <c r="P21" s="2"/>
      <c r="Q21" s="2"/>
    </row>
    <row r="22" spans="1:35">
      <c r="C22" t="s">
        <v>23</v>
      </c>
      <c r="D22" t="s">
        <v>24</v>
      </c>
      <c r="E22" s="4">
        <v>1</v>
      </c>
      <c r="F22" s="4">
        <f t="shared" si="6"/>
        <v>1</v>
      </c>
      <c r="G22" s="4">
        <f t="shared" si="5"/>
        <v>1</v>
      </c>
      <c r="H22" s="4">
        <f t="shared" si="5"/>
        <v>1</v>
      </c>
      <c r="I22" s="4">
        <f t="shared" si="5"/>
        <v>1</v>
      </c>
      <c r="J22" s="4">
        <f t="shared" si="5"/>
        <v>1</v>
      </c>
      <c r="K22" s="4">
        <f t="shared" si="5"/>
        <v>1</v>
      </c>
      <c r="L22" s="2"/>
      <c r="M22" s="2"/>
      <c r="N22" s="2"/>
      <c r="O22" s="2"/>
      <c r="P22" s="2"/>
      <c r="Q22" s="2"/>
    </row>
    <row r="23" spans="1:35">
      <c r="C23" t="s">
        <v>25</v>
      </c>
      <c r="D23" t="s">
        <v>24</v>
      </c>
      <c r="E23" s="4">
        <v>1</v>
      </c>
      <c r="F23" s="4">
        <f t="shared" si="6"/>
        <v>1</v>
      </c>
      <c r="G23" s="4">
        <f t="shared" si="5"/>
        <v>1</v>
      </c>
      <c r="H23" s="4">
        <f t="shared" si="5"/>
        <v>1</v>
      </c>
      <c r="I23" s="4">
        <f t="shared" si="5"/>
        <v>1</v>
      </c>
      <c r="J23" s="4">
        <f t="shared" si="5"/>
        <v>1</v>
      </c>
      <c r="K23" s="4">
        <f t="shared" si="5"/>
        <v>1</v>
      </c>
      <c r="L23" s="2"/>
      <c r="M23" s="2"/>
      <c r="N23" s="2"/>
      <c r="O23" s="2"/>
      <c r="P23" s="2"/>
      <c r="Q23" s="2"/>
    </row>
    <row r="24" spans="1:35">
      <c r="B24" s="3">
        <v>5.5E-2</v>
      </c>
      <c r="C24" t="s">
        <v>30</v>
      </c>
      <c r="E24" s="7">
        <f>E14*EXP(-E20)</f>
        <v>0.32800000000000001</v>
      </c>
      <c r="F24" s="7">
        <f t="shared" ref="F24:K24" si="9">F14*EXP(-F20)</f>
        <v>0.32800000000000001</v>
      </c>
      <c r="G24" s="7">
        <f t="shared" si="9"/>
        <v>0.32800000000000001</v>
      </c>
      <c r="H24" s="7">
        <f t="shared" si="9"/>
        <v>0.32800000000000001</v>
      </c>
      <c r="I24" s="7">
        <f t="shared" si="9"/>
        <v>0.32800000000000001</v>
      </c>
      <c r="J24" s="7">
        <f t="shared" si="9"/>
        <v>0.32800000000000001</v>
      </c>
      <c r="K24" s="7">
        <f t="shared" si="9"/>
        <v>0.32800000000000001</v>
      </c>
    </row>
    <row r="25" spans="1:35" ht="28.8">
      <c r="A25" s="6" t="s">
        <v>28</v>
      </c>
      <c r="B25" s="6" t="s">
        <v>27</v>
      </c>
      <c r="C25" s="6"/>
      <c r="D25" s="6" t="s">
        <v>26</v>
      </c>
    </row>
    <row r="26" spans="1:35">
      <c r="A26" s="3">
        <f t="shared" ref="A26:A89" si="10">D26/365</f>
        <v>2.176241738970634E-3</v>
      </c>
      <c r="B26" s="4">
        <v>-0.1</v>
      </c>
      <c r="C26">
        <f>10^B26</f>
        <v>0.79432823472428149</v>
      </c>
      <c r="D26">
        <f>10^B26</f>
        <v>0.79432823472428149</v>
      </c>
      <c r="E26" s="5">
        <f t="array" ref="E26:E106">qVSqNFB($D$26:$D$106,E$6,E$7,E$8,E$9,E$10,E$11,E$12,E$13,E$14,E$15,E$16,E$17,E$18,E$19,E$20,E$21,E$22,E$23)</f>
        <v>94.322461844881715</v>
      </c>
      <c r="F26" s="5">
        <f t="array" ref="F26:F106">qVSqNFB($D$26:$D$106,F$6,F$7,F$8,F$9,F$10,F$11,F$12,F$13,F$14,F$15,F$16,F$17,F$18,F$19,F$20,F$21,F$22,F$23)</f>
        <v>94.805754007350131</v>
      </c>
      <c r="G26" s="5">
        <f t="array" ref="G26:G106">qVSqNFB($D$26:$D$106,G$6,G$7,G$8,G$9,G$10,G$11,G$12,G$13,G$14,G$15,G$16,G$17,G$18,G$19,G$20,G$21,G$22,G$23)</f>
        <v>94.553924013475239</v>
      </c>
      <c r="H26" s="5">
        <f t="array" ref="H26:H106">qVSqNFB($D$26:$D$106,H$6,H$7,H$8,H$9,H$10,H$11,H$12,H$13,H$14,H$15,H$16,H$17,H$18,H$19,H$20,H$21,H$22,H$23)</f>
        <v>94.534173961718096</v>
      </c>
      <c r="I26" s="5">
        <f t="array" ref="I26:I106">qVSqNFB($D$26:$D$106,I$6,I$7,I$8,I$9,I$10,I$11,I$12,I$13,I$14,I$15,I$16,I$17,I$18,I$19,I$20,I$21,I$22,I$23)</f>
        <v>94.534051100222044</v>
      </c>
      <c r="J26" s="5">
        <f t="array" ref="J26:J106">qVSqNFB($D$26:$D$106,J$6,J$7,J$8,J$9,J$10,J$11,J$12,J$13,J$14,J$15,J$16,J$17,J$18,J$19,J$20,J$21,J$22,J$23)</f>
        <v>94.533523737386119</v>
      </c>
      <c r="K26" s="5">
        <f t="array" ref="K26:K106">qVSqNFB($D$26:$D$106,K$6,K$7,K$8,K$9,K$10,K$11,K$12,K$13,K$14,K$15,K$16,K$17,K$18,K$19,K$20,K$21,K$22,K$23)</f>
        <v>94.535085127938146</v>
      </c>
    </row>
    <row r="27" spans="1:35">
      <c r="A27" s="3">
        <f t="shared" si="10"/>
        <v>2.4700579112491971E-3</v>
      </c>
      <c r="B27" s="3">
        <f>B26+$B$24</f>
        <v>-4.5000000000000005E-2</v>
      </c>
      <c r="D27">
        <f t="shared" ref="D27:D90" si="11">10^B27</f>
        <v>0.90157113760595697</v>
      </c>
      <c r="E27" s="5">
        <v>93.007061468034621</v>
      </c>
      <c r="F27" s="5">
        <v>93.608392117908281</v>
      </c>
      <c r="G27" s="5">
        <v>93.365036044253884</v>
      </c>
      <c r="H27" s="5">
        <v>93.345935015542452</v>
      </c>
      <c r="I27" s="5">
        <v>93.346457374779888</v>
      </c>
      <c r="J27" s="5">
        <v>93.347795410152372</v>
      </c>
      <c r="K27" s="5">
        <v>93.34195637148764</v>
      </c>
    </row>
    <row r="28" spans="1:35">
      <c r="A28" s="3">
        <f t="shared" si="10"/>
        <v>2.8035424446048057E-3</v>
      </c>
      <c r="B28" s="3">
        <f t="shared" ref="B28:B91" si="12">B27+$B$24</f>
        <v>9.999999999999995E-3</v>
      </c>
      <c r="D28">
        <f t="shared" si="11"/>
        <v>1.0232929922807541</v>
      </c>
      <c r="E28" s="5">
        <v>91.669432062782334</v>
      </c>
      <c r="F28" s="5">
        <v>92.437058643748571</v>
      </c>
      <c r="G28" s="5">
        <v>92.205170691524401</v>
      </c>
      <c r="H28" s="5">
        <v>92.186505499578914</v>
      </c>
      <c r="I28" s="5">
        <v>92.184800387872301</v>
      </c>
      <c r="J28" s="5">
        <v>92.18088877742899</v>
      </c>
      <c r="K28" s="5">
        <v>92.200514057116607</v>
      </c>
    </row>
    <row r="29" spans="1:35">
      <c r="A29" s="3">
        <f t="shared" si="10"/>
        <v>3.182050996822857E-3</v>
      </c>
      <c r="B29" s="3">
        <f t="shared" si="12"/>
        <v>6.5000000000000002E-2</v>
      </c>
      <c r="D29">
        <f t="shared" si="11"/>
        <v>1.1614486138403428</v>
      </c>
      <c r="E29" s="5">
        <v>90.299322677589771</v>
      </c>
      <c r="F29" s="5">
        <v>91.287665426230774</v>
      </c>
      <c r="G29" s="5">
        <v>91.072838683255512</v>
      </c>
      <c r="H29" s="5">
        <v>91.30838724416202</v>
      </c>
      <c r="I29" s="5">
        <v>91.059098093867249</v>
      </c>
      <c r="J29" s="5">
        <v>91.067461419033762</v>
      </c>
      <c r="K29" s="5">
        <v>91.009171335885469</v>
      </c>
    </row>
    <row r="30" spans="1:35">
      <c r="A30" s="3">
        <f t="shared" si="10"/>
        <v>3.6116622974148144E-3</v>
      </c>
      <c r="B30" s="3">
        <f t="shared" si="12"/>
        <v>0.12</v>
      </c>
      <c r="D30">
        <f t="shared" si="11"/>
        <v>1.3182567385564072</v>
      </c>
      <c r="E30" s="5">
        <v>88.88916161840595</v>
      </c>
      <c r="F30" s="5">
        <v>90.155326167981016</v>
      </c>
      <c r="G30" s="5">
        <v>89.967553708444996</v>
      </c>
      <c r="H30" s="5">
        <v>90.197668157415208</v>
      </c>
      <c r="I30" s="5">
        <v>89.954279190567348</v>
      </c>
      <c r="J30" s="5">
        <v>89.90444640808515</v>
      </c>
      <c r="K30" s="5">
        <v>90.078966912334437</v>
      </c>
    </row>
    <row r="31" spans="1:35">
      <c r="A31" s="3">
        <f t="shared" si="10"/>
        <v>4.0992757701217358E-3</v>
      </c>
      <c r="B31" s="3">
        <f t="shared" si="12"/>
        <v>0.17499999999999999</v>
      </c>
      <c r="D31">
        <f t="shared" si="11"/>
        <v>1.4962356560944334</v>
      </c>
      <c r="E31" s="5">
        <v>87.430738842355112</v>
      </c>
      <c r="F31" s="5">
        <v>89.033326036138135</v>
      </c>
      <c r="G31" s="5">
        <v>88.887961379986223</v>
      </c>
      <c r="H31" s="5">
        <v>89.112903177551502</v>
      </c>
      <c r="I31" s="5">
        <v>88.864539821606314</v>
      </c>
      <c r="J31" s="5">
        <v>88.860720120358337</v>
      </c>
      <c r="K31" s="5">
        <v>88.796653247683949</v>
      </c>
    </row>
    <row r="32" spans="1:35">
      <c r="A32" s="3">
        <f t="shared" si="10"/>
        <v>4.6527223355116287E-3</v>
      </c>
      <c r="B32" s="3">
        <f t="shared" si="12"/>
        <v>0.22999999999999998</v>
      </c>
      <c r="D32">
        <f t="shared" si="11"/>
        <v>1.6982436524617444</v>
      </c>
      <c r="E32" s="5">
        <v>85.920785581961582</v>
      </c>
      <c r="F32" s="5">
        <v>87.913655694051002</v>
      </c>
      <c r="G32" s="5">
        <v>87.832795838909732</v>
      </c>
      <c r="H32" s="5">
        <v>88.052760838373786</v>
      </c>
      <c r="I32" s="5">
        <v>87.81846884128322</v>
      </c>
      <c r="J32" s="5">
        <v>87.848662832248692</v>
      </c>
      <c r="K32" s="5">
        <v>87.73753835372483</v>
      </c>
    </row>
    <row r="33" spans="1:11">
      <c r="A33" s="3">
        <f t="shared" si="10"/>
        <v>5.280890173125853E-3</v>
      </c>
      <c r="B33" s="3">
        <f t="shared" si="12"/>
        <v>0.28499999999999998</v>
      </c>
      <c r="D33">
        <f t="shared" si="11"/>
        <v>1.9275249131909362</v>
      </c>
      <c r="E33" s="5">
        <v>84.355955760202136</v>
      </c>
      <c r="F33" s="5">
        <v>86.787423743051846</v>
      </c>
      <c r="G33" s="5">
        <v>86.800805056427549</v>
      </c>
      <c r="H33" s="5">
        <v>87.017646079932632</v>
      </c>
      <c r="I33" s="5">
        <v>86.78716497909808</v>
      </c>
      <c r="J33" s="5">
        <v>86.787003358088967</v>
      </c>
      <c r="K33" s="5">
        <v>86.797856766863191</v>
      </c>
    </row>
    <row r="34" spans="1:11">
      <c r="A34" s="3">
        <f t="shared" si="10"/>
        <v>5.9938674628754861E-3</v>
      </c>
      <c r="B34" s="3">
        <f t="shared" si="12"/>
        <v>0.33999999999999997</v>
      </c>
      <c r="D34">
        <f t="shared" si="11"/>
        <v>2.1877616239495525</v>
      </c>
      <c r="E34" s="5">
        <v>82.735864153740152</v>
      </c>
      <c r="F34" s="5">
        <v>85.64514285828038</v>
      </c>
      <c r="G34" s="5">
        <v>85.790067194089289</v>
      </c>
      <c r="H34" s="5">
        <v>86.005837688232148</v>
      </c>
      <c r="I34" s="5">
        <v>86.006214607763582</v>
      </c>
      <c r="J34" s="5">
        <v>85.784539529745047</v>
      </c>
      <c r="K34" s="5">
        <v>85.741779757752099</v>
      </c>
    </row>
    <row r="35" spans="1:11">
      <c r="A35" s="3">
        <f t="shared" si="10"/>
        <v>6.8031043980700551E-3</v>
      </c>
      <c r="B35" s="3">
        <f t="shared" si="12"/>
        <v>0.39499999999999996</v>
      </c>
      <c r="D35">
        <f t="shared" si="11"/>
        <v>2.4831331052955701</v>
      </c>
      <c r="E35" s="5">
        <v>81.060806156343318</v>
      </c>
      <c r="F35" s="5">
        <v>84.477674361228097</v>
      </c>
      <c r="G35" s="5">
        <v>84.797720430594907</v>
      </c>
      <c r="H35" s="5">
        <v>85.016682757063023</v>
      </c>
      <c r="I35" s="5">
        <v>85.016097354873295</v>
      </c>
      <c r="J35" s="5">
        <v>84.812271648878351</v>
      </c>
      <c r="K35" s="5">
        <v>84.812968544215622</v>
      </c>
    </row>
    <row r="36" spans="1:11">
      <c r="A36" s="3">
        <f t="shared" si="10"/>
        <v>7.7215970719574072E-3</v>
      </c>
      <c r="B36" s="3">
        <f t="shared" si="12"/>
        <v>0.44999999999999996</v>
      </c>
      <c r="D36">
        <f t="shared" si="11"/>
        <v>2.8183829312644537</v>
      </c>
      <c r="E36" s="5">
        <v>79.332303412296156</v>
      </c>
      <c r="F36" s="5">
        <v>83.276594540387421</v>
      </c>
      <c r="G36" s="5">
        <v>83.819279923283062</v>
      </c>
      <c r="H36" s="5">
        <v>84.049183874282221</v>
      </c>
      <c r="I36" s="5">
        <v>84.050442984916941</v>
      </c>
      <c r="J36" s="5">
        <v>83.846691371411069</v>
      </c>
      <c r="K36" s="5">
        <v>83.838721710741908</v>
      </c>
    </row>
    <row r="37" spans="1:11">
      <c r="A37" s="3">
        <f t="shared" si="10"/>
        <v>8.7640961909353377E-3</v>
      </c>
      <c r="B37" s="3">
        <f t="shared" si="12"/>
        <v>0.505</v>
      </c>
      <c r="D37">
        <f t="shared" si="11"/>
        <v>3.198895109691398</v>
      </c>
      <c r="E37" s="5">
        <v>77.552158642523537</v>
      </c>
      <c r="F37" s="5">
        <v>82.034614739912712</v>
      </c>
      <c r="G37" s="5">
        <v>82.84974826062323</v>
      </c>
      <c r="H37" s="5">
        <v>83.102105115687934</v>
      </c>
      <c r="I37" s="5">
        <v>83.103449378914334</v>
      </c>
      <c r="J37" s="5">
        <v>82.880128557997097</v>
      </c>
      <c r="K37" s="5">
        <v>82.86727182451574</v>
      </c>
    </row>
    <row r="38" spans="1:11">
      <c r="A38" s="3">
        <f t="shared" si="10"/>
        <v>9.9473439663041487E-3</v>
      </c>
      <c r="B38" s="3">
        <f t="shared" si="12"/>
        <v>0.56000000000000005</v>
      </c>
      <c r="D38">
        <f t="shared" si="11"/>
        <v>3.630780547701014</v>
      </c>
      <c r="E38" s="5">
        <v>75.721886765485038</v>
      </c>
      <c r="F38" s="5">
        <v>80.745795890513747</v>
      </c>
      <c r="G38" s="5">
        <v>81.881960760431824</v>
      </c>
      <c r="H38" s="5">
        <v>82.173600768547601</v>
      </c>
      <c r="I38" s="5">
        <v>82.176224246841741</v>
      </c>
      <c r="J38" s="5">
        <v>81.975060313299139</v>
      </c>
      <c r="K38" s="5">
        <v>81.973201267896798</v>
      </c>
    </row>
    <row r="39" spans="1:11">
      <c r="A39" s="3">
        <f t="shared" si="10"/>
        <v>1.1290342988967954E-2</v>
      </c>
      <c r="B39" s="3">
        <f t="shared" si="12"/>
        <v>0.6150000000000001</v>
      </c>
      <c r="D39">
        <f t="shared" si="11"/>
        <v>4.1209751909733034</v>
      </c>
      <c r="E39" s="5">
        <v>73.841738403031925</v>
      </c>
      <c r="F39" s="5">
        <v>79.404899836919085</v>
      </c>
      <c r="G39" s="5">
        <v>80.90677282597045</v>
      </c>
      <c r="H39" s="5">
        <v>81.260375842431671</v>
      </c>
      <c r="I39" s="5">
        <v>81.267066611898017</v>
      </c>
      <c r="J39" s="5">
        <v>81.071070059260393</v>
      </c>
      <c r="K39" s="5">
        <v>81.062929695122889</v>
      </c>
    </row>
    <row r="40" spans="1:11">
      <c r="A40" s="3">
        <f t="shared" si="10"/>
        <v>1.2814661405128724E-2</v>
      </c>
      <c r="B40" s="3">
        <f t="shared" si="12"/>
        <v>0.67000000000000015</v>
      </c>
      <c r="D40">
        <f t="shared" si="11"/>
        <v>4.6773514128719844</v>
      </c>
      <c r="E40" s="5">
        <v>71.909898278386052</v>
      </c>
      <c r="F40" s="5">
        <v>78.006609029630198</v>
      </c>
      <c r="G40" s="5">
        <v>79.913758156955822</v>
      </c>
      <c r="H40" s="5">
        <v>80.357637839981635</v>
      </c>
      <c r="I40" s="5">
        <v>80.372938650333055</v>
      </c>
      <c r="J40" s="5">
        <v>80.180642072735637</v>
      </c>
      <c r="K40" s="5">
        <v>80.177542167062256</v>
      </c>
    </row>
    <row r="41" spans="1:11">
      <c r="A41" s="3">
        <f t="shared" si="10"/>
        <v>1.454477929399969E-2</v>
      </c>
      <c r="B41" s="3">
        <f t="shared" si="12"/>
        <v>0.7250000000000002</v>
      </c>
      <c r="D41">
        <f t="shared" si="11"/>
        <v>5.3088444423098871</v>
      </c>
      <c r="E41" s="5">
        <v>69.922014562284673</v>
      </c>
      <c r="F41" s="5">
        <v>76.544672066763653</v>
      </c>
      <c r="G41" s="5">
        <v>78.890898757063013</v>
      </c>
      <c r="H41" s="5">
        <v>79.458394575453653</v>
      </c>
      <c r="I41" s="5">
        <v>79.490038294770699</v>
      </c>
      <c r="J41" s="5">
        <v>79.292287975346468</v>
      </c>
      <c r="K41" s="5">
        <v>79.300368518643296</v>
      </c>
    </row>
    <row r="42" spans="1:11">
      <c r="A42" s="3">
        <f t="shared" si="10"/>
        <v>1.6508481810256388E-2</v>
      </c>
      <c r="B42" s="3">
        <f t="shared" si="12"/>
        <v>0.78000000000000025</v>
      </c>
      <c r="D42">
        <f t="shared" si="11"/>
        <v>6.0255958607435822</v>
      </c>
      <c r="E42" s="5">
        <v>67.869148907587473</v>
      </c>
      <c r="F42" s="5">
        <v>75.010707380598745</v>
      </c>
      <c r="G42" s="5">
        <v>77.825038325549357</v>
      </c>
      <c r="H42" s="5">
        <v>78.553238695199454</v>
      </c>
      <c r="I42" s="5">
        <v>78.613437146313458</v>
      </c>
      <c r="J42" s="5">
        <v>78.422445126559992</v>
      </c>
      <c r="K42" s="5">
        <v>78.427914262307638</v>
      </c>
    </row>
    <row r="43" spans="1:11">
      <c r="A43" s="3">
        <f t="shared" si="10"/>
        <v>1.8737305404970685E-2</v>
      </c>
      <c r="B43" s="3">
        <f t="shared" si="12"/>
        <v>0.8350000000000003</v>
      </c>
      <c r="D43">
        <f t="shared" si="11"/>
        <v>6.8391164728142995</v>
      </c>
      <c r="E43" s="5">
        <v>65.737613882397994</v>
      </c>
      <c r="F43" s="5">
        <v>73.393147378148697</v>
      </c>
      <c r="G43" s="5">
        <v>76.701015052599345</v>
      </c>
      <c r="H43" s="5">
        <v>77.62956493790675</v>
      </c>
      <c r="I43" s="5">
        <v>77.736935016001837</v>
      </c>
      <c r="J43" s="5">
        <v>77.554710355102983</v>
      </c>
      <c r="K43" s="5">
        <v>77.573582613888689</v>
      </c>
    </row>
    <row r="44" spans="1:11">
      <c r="A44" s="3">
        <f t="shared" si="10"/>
        <v>2.1267044291197051E-2</v>
      </c>
      <c r="B44" s="3">
        <f t="shared" si="12"/>
        <v>0.89000000000000035</v>
      </c>
      <c r="D44">
        <f t="shared" si="11"/>
        <v>7.7624711662869235</v>
      </c>
      <c r="E44" s="5">
        <v>63.510527584717863</v>
      </c>
      <c r="F44" s="5">
        <v>71.677490501339875</v>
      </c>
      <c r="G44" s="5">
        <v>75.502893780261843</v>
      </c>
      <c r="H44" s="5">
        <v>76.672673958196157</v>
      </c>
      <c r="I44" s="5">
        <v>76.853800746803472</v>
      </c>
      <c r="J44" s="5">
        <v>76.677748587397602</v>
      </c>
      <c r="K44" s="5">
        <v>76.684287788071359</v>
      </c>
    </row>
    <row r="45" spans="1:11">
      <c r="A45" s="3">
        <f t="shared" si="10"/>
        <v>2.4138325287890828E-2</v>
      </c>
      <c r="B45" s="3">
        <f t="shared" si="12"/>
        <v>0.9450000000000004</v>
      </c>
      <c r="D45">
        <f t="shared" si="11"/>
        <v>8.8104887300801522</v>
      </c>
      <c r="E45" s="5">
        <v>61.166682657836304</v>
      </c>
      <c r="F45" s="5">
        <v>69.845834775591456</v>
      </c>
      <c r="G45" s="5">
        <v>74.212498255723148</v>
      </c>
      <c r="H45" s="5">
        <v>75.665586769925739</v>
      </c>
      <c r="I45" s="5">
        <v>75.956806856595975</v>
      </c>
      <c r="J45" s="5">
        <v>76.923540544368734</v>
      </c>
      <c r="K45" s="5">
        <v>75.763287571242628</v>
      </c>
    </row>
    <row r="46" spans="1:11">
      <c r="A46" s="3">
        <f t="shared" si="10"/>
        <v>2.7397260273972632E-2</v>
      </c>
      <c r="B46" s="3">
        <f t="shared" si="12"/>
        <v>1.0000000000000004</v>
      </c>
      <c r="D46">
        <f t="shared" si="11"/>
        <v>10.000000000000011</v>
      </c>
      <c r="E46" s="5">
        <v>58.684130736543914</v>
      </c>
      <c r="F46" s="5">
        <v>67.878606117602018</v>
      </c>
      <c r="G46" s="5">
        <v>72.812556327999388</v>
      </c>
      <c r="H46" s="5">
        <v>74.589655477375402</v>
      </c>
      <c r="I46" s="5">
        <v>75.038300056197855</v>
      </c>
      <c r="J46" s="5">
        <v>75.984626005206351</v>
      </c>
      <c r="K46" s="5">
        <v>74.872811993109266</v>
      </c>
    </row>
    <row r="47" spans="1:11">
      <c r="A47" s="3">
        <f t="shared" si="10"/>
        <v>3.109618673074839E-2</v>
      </c>
      <c r="B47" s="3">
        <f t="shared" si="12"/>
        <v>1.0550000000000004</v>
      </c>
      <c r="D47">
        <f t="shared" si="11"/>
        <v>11.350108156723163</v>
      </c>
      <c r="E47" s="5">
        <v>56.042510476992575</v>
      </c>
      <c r="F47" s="5">
        <v>65.754863262231083</v>
      </c>
      <c r="G47" s="5">
        <v>71.283564099226709</v>
      </c>
      <c r="H47" s="5">
        <v>73.42537324722457</v>
      </c>
      <c r="I47" s="5">
        <v>74.091880783554103</v>
      </c>
      <c r="J47" s="5">
        <v>75.014419960646194</v>
      </c>
      <c r="K47" s="5">
        <v>73.920982070132453</v>
      </c>
    </row>
    <row r="48" spans="1:11">
      <c r="A48" s="3">
        <f t="shared" si="10"/>
        <v>3.529450826556535E-2</v>
      </c>
      <c r="B48" s="3">
        <f t="shared" si="12"/>
        <v>1.1100000000000003</v>
      </c>
      <c r="D48">
        <f t="shared" si="11"/>
        <v>12.882495516931352</v>
      </c>
      <c r="E48" s="5">
        <v>53.225028829645517</v>
      </c>
      <c r="F48" s="5">
        <v>63.455040387259785</v>
      </c>
      <c r="G48" s="5">
        <v>69.607231091493759</v>
      </c>
      <c r="H48" s="5">
        <v>72.153084399663129</v>
      </c>
      <c r="I48" s="5">
        <v>73.111337390398901</v>
      </c>
      <c r="J48" s="5">
        <v>74.009672985529448</v>
      </c>
      <c r="K48" s="5">
        <v>72.95733155179542</v>
      </c>
    </row>
    <row r="49" spans="1:11">
      <c r="A49" s="3">
        <f t="shared" si="10"/>
        <v>4.0059648615252588E-2</v>
      </c>
      <c r="B49" s="3">
        <f t="shared" si="12"/>
        <v>1.1650000000000003</v>
      </c>
      <c r="D49">
        <f t="shared" si="11"/>
        <v>14.621771744567194</v>
      </c>
      <c r="E49" s="5">
        <v>50.221738991654547</v>
      </c>
      <c r="F49" s="5">
        <v>60.96203931597887</v>
      </c>
      <c r="G49" s="5">
        <v>67.766217860194473</v>
      </c>
      <c r="H49" s="5">
        <v>70.753603398361534</v>
      </c>
      <c r="I49" s="5">
        <v>72.091963820993797</v>
      </c>
      <c r="J49" s="5">
        <v>72.966460223566344</v>
      </c>
      <c r="K49" s="5">
        <v>71.927603404639768</v>
      </c>
    </row>
    <row r="50" spans="1:11">
      <c r="A50" s="3">
        <f t="shared" si="10"/>
        <v>4.5468134450344165E-2</v>
      </c>
      <c r="B50" s="3">
        <f t="shared" si="12"/>
        <v>1.2200000000000002</v>
      </c>
      <c r="D50">
        <f t="shared" si="11"/>
        <v>16.595869074375621</v>
      </c>
      <c r="E50" s="5">
        <v>47.031103317969531</v>
      </c>
      <c r="F50" s="5">
        <v>58.263014699333901</v>
      </c>
      <c r="G50" s="5">
        <v>65.743897498966405</v>
      </c>
      <c r="H50" s="5">
        <v>69.208872851695901</v>
      </c>
      <c r="I50" s="5">
        <v>71.028836742515892</v>
      </c>
      <c r="J50" s="5">
        <v>71.882236893805995</v>
      </c>
      <c r="K50" s="5">
        <v>70.887064288339346</v>
      </c>
    </row>
    <row r="51" spans="1:11">
      <c r="A51" s="3">
        <f t="shared" si="10"/>
        <v>5.1606824369583616E-2</v>
      </c>
      <c r="B51" s="3">
        <f t="shared" si="12"/>
        <v>1.2750000000000001</v>
      </c>
      <c r="D51">
        <f t="shared" si="11"/>
        <v>18.83649089489802</v>
      </c>
      <c r="E51" s="5">
        <v>43.661090847255196</v>
      </c>
      <c r="F51" s="5">
        <v>55.350555319960193</v>
      </c>
      <c r="G51" s="5">
        <v>63.525978287114313</v>
      </c>
      <c r="H51" s="5">
        <v>67.502463110481585</v>
      </c>
      <c r="I51" s="5">
        <v>69.917861455631268</v>
      </c>
      <c r="J51" s="5">
        <v>70.754469777046168</v>
      </c>
      <c r="K51" s="5">
        <v>69.782475792205815</v>
      </c>
    </row>
    <row r="52" spans="1:11">
      <c r="A52" s="3">
        <f t="shared" si="10"/>
        <v>5.8574303821979E-2</v>
      </c>
      <c r="B52" s="3">
        <f t="shared" si="12"/>
        <v>1.33</v>
      </c>
      <c r="D52">
        <f t="shared" si="11"/>
        <v>21.379620895022335</v>
      </c>
      <c r="E52" s="5">
        <v>40.130893815940588</v>
      </c>
      <c r="F52" s="5">
        <v>52.224118536406095</v>
      </c>
      <c r="G52" s="5">
        <v>61.101690056504104</v>
      </c>
      <c r="H52" s="5">
        <v>65.619596118673925</v>
      </c>
      <c r="I52" s="5">
        <v>68.753412955975804</v>
      </c>
      <c r="J52" s="5">
        <v>69.58826877941965</v>
      </c>
      <c r="K52" s="5">
        <v>68.648435493760061</v>
      </c>
    </row>
    <row r="53" spans="1:11">
      <c r="A53" s="3">
        <f t="shared" si="10"/>
        <v>6.6482468358422378E-2</v>
      </c>
      <c r="B53" s="3">
        <f t="shared" si="12"/>
        <v>1.385</v>
      </c>
      <c r="D53">
        <f t="shared" si="11"/>
        <v>24.266100950824168</v>
      </c>
      <c r="E53" s="5">
        <v>36.469648021897257</v>
      </c>
      <c r="F53" s="5">
        <v>48.890299856825663</v>
      </c>
      <c r="G53" s="5">
        <v>58.463301989281071</v>
      </c>
      <c r="H53" s="5">
        <v>63.547196350202896</v>
      </c>
      <c r="I53" s="5">
        <v>67.52849634928414</v>
      </c>
      <c r="J53" s="5">
        <v>68.373192817701565</v>
      </c>
      <c r="K53" s="5">
        <v>67.484015573692673</v>
      </c>
    </row>
    <row r="54" spans="1:11">
      <c r="A54" s="3">
        <f t="shared" si="10"/>
        <v>7.5458320639401819E-2</v>
      </c>
      <c r="B54" s="3">
        <f t="shared" si="12"/>
        <v>1.44</v>
      </c>
      <c r="D54">
        <f t="shared" si="11"/>
        <v>27.542287033381665</v>
      </c>
      <c r="E54" s="5">
        <v>32.717511774289868</v>
      </c>
      <c r="F54" s="5">
        <v>45.363960911415667</v>
      </c>
      <c r="G54" s="5">
        <v>55.60667841926346</v>
      </c>
      <c r="H54" s="5">
        <v>61.274909643978255</v>
      </c>
      <c r="I54" s="5">
        <v>66.232993706148079</v>
      </c>
      <c r="J54" s="5">
        <v>67.13225139116453</v>
      </c>
      <c r="K54" s="5">
        <v>70.998692383278467</v>
      </c>
    </row>
    <row r="55" spans="1:11">
      <c r="A55" s="3">
        <f t="shared" si="10"/>
        <v>8.5646010058190544E-2</v>
      </c>
      <c r="B55" s="3">
        <f t="shared" si="12"/>
        <v>1.4949999999999999</v>
      </c>
      <c r="D55">
        <f t="shared" si="11"/>
        <v>31.260793671239547</v>
      </c>
      <c r="E55" s="5">
        <v>28.924363710282524</v>
      </c>
      <c r="F55" s="5">
        <v>41.668845543220279</v>
      </c>
      <c r="G55" s="5">
        <v>52.533250536865481</v>
      </c>
      <c r="H55" s="5">
        <v>58.794015573080159</v>
      </c>
      <c r="I55" s="5">
        <v>64.854913639537557</v>
      </c>
      <c r="J55" s="5">
        <v>65.845789125947491</v>
      </c>
      <c r="K55" s="5">
        <v>69.556169276471934</v>
      </c>
    </row>
    <row r="56" spans="1:11">
      <c r="A56" s="3">
        <f t="shared" si="10"/>
        <v>9.720914773522614E-2</v>
      </c>
      <c r="B56" s="3">
        <f t="shared" si="12"/>
        <v>1.5499999999999998</v>
      </c>
      <c r="D56">
        <f t="shared" si="11"/>
        <v>35.481338923357541</v>
      </c>
      <c r="E56" s="5">
        <v>25.149119564964401</v>
      </c>
      <c r="F56" s="5">
        <v>37.83810710068142</v>
      </c>
      <c r="G56" s="5">
        <v>49.250496250823062</v>
      </c>
      <c r="H56" s="5">
        <v>56.09989812770845</v>
      </c>
      <c r="I56" s="5">
        <v>63.378806485261471</v>
      </c>
      <c r="J56" s="5">
        <v>64.527865851313081</v>
      </c>
      <c r="K56" s="5">
        <v>68.092234205650414</v>
      </c>
    </row>
    <row r="57" spans="1:11">
      <c r="A57" s="3">
        <f t="shared" si="10"/>
        <v>0.11033343406176958</v>
      </c>
      <c r="B57" s="3">
        <f t="shared" si="12"/>
        <v>1.6049999999999998</v>
      </c>
      <c r="D57">
        <f t="shared" si="11"/>
        <v>40.271703432545898</v>
      </c>
      <c r="E57" s="5">
        <v>21.457735366204734</v>
      </c>
      <c r="F57" s="5">
        <v>33.915231463287654</v>
      </c>
      <c r="G57" s="5">
        <v>45.77200601914096</v>
      </c>
      <c r="H57" s="5">
        <v>53.191151114309783</v>
      </c>
      <c r="I57" s="5">
        <v>61.78794011208943</v>
      </c>
      <c r="J57" s="5">
        <v>63.182453377995564</v>
      </c>
      <c r="K57" s="5">
        <v>66.602546583569406</v>
      </c>
    </row>
    <row r="58" spans="1:11">
      <c r="A58" s="3">
        <f t="shared" si="10"/>
        <v>0.12522964099037667</v>
      </c>
      <c r="B58" s="3">
        <f t="shared" si="12"/>
        <v>1.6599999999999997</v>
      </c>
      <c r="D58">
        <f t="shared" si="11"/>
        <v>45.708818961487488</v>
      </c>
      <c r="E58" s="5">
        <v>17.920003680882015</v>
      </c>
      <c r="F58" s="5">
        <v>29.953271347216905</v>
      </c>
      <c r="G58" s="5">
        <v>42.120824789832326</v>
      </c>
      <c r="H58" s="5">
        <v>50.072105920067379</v>
      </c>
      <c r="I58" s="5">
        <v>60.063088560294005</v>
      </c>
      <c r="J58" s="5">
        <v>61.812538450042112</v>
      </c>
      <c r="K58" s="5">
        <v>65.074338171349822</v>
      </c>
    </row>
    <row r="59" spans="1:11">
      <c r="A59" s="3">
        <f t="shared" si="10"/>
        <v>0.1421369969668386</v>
      </c>
      <c r="B59" s="3">
        <f t="shared" si="12"/>
        <v>1.7149999999999996</v>
      </c>
      <c r="D59">
        <f t="shared" si="11"/>
        <v>51.880003892896092</v>
      </c>
      <c r="E59" s="5">
        <v>14.605949096393845</v>
      </c>
      <c r="F59" s="5">
        <v>26.014044475001914</v>
      </c>
      <c r="G59" s="5">
        <v>38.328246818160942</v>
      </c>
      <c r="H59" s="5">
        <v>46.753212000000005</v>
      </c>
      <c r="I59" s="5">
        <v>58.187167556389255</v>
      </c>
      <c r="J59" s="5">
        <v>60.421456993492079</v>
      </c>
      <c r="K59" s="5">
        <v>63.556409070209028</v>
      </c>
    </row>
    <row r="60" spans="1:11">
      <c r="A60" s="3">
        <f t="shared" si="10"/>
        <v>0.16132702886454478</v>
      </c>
      <c r="B60" s="3">
        <f t="shared" si="12"/>
        <v>1.7699999999999996</v>
      </c>
      <c r="D60">
        <f t="shared" si="11"/>
        <v>58.884365535558842</v>
      </c>
      <c r="E60" s="5">
        <v>11.580698223413217</v>
      </c>
      <c r="F60" s="5">
        <v>22.166852682336732</v>
      </c>
      <c r="G60" s="5">
        <v>34.435689676900701</v>
      </c>
      <c r="H60" s="5">
        <v>43.251775734629817</v>
      </c>
      <c r="I60" s="5">
        <v>56.144363538320192</v>
      </c>
      <c r="J60" s="5">
        <v>59.013685201745659</v>
      </c>
      <c r="K60" s="5">
        <v>62.028356870683716</v>
      </c>
    </row>
    <row r="61" spans="1:11">
      <c r="A61" s="3">
        <f t="shared" si="10"/>
        <v>0.18310792262153813</v>
      </c>
      <c r="B61" s="3">
        <f t="shared" si="12"/>
        <v>1.8249999999999995</v>
      </c>
      <c r="D61">
        <f t="shared" si="11"/>
        <v>66.834391756861422</v>
      </c>
      <c r="E61" s="5">
        <v>8.8988484788301054</v>
      </c>
      <c r="F61" s="5">
        <v>18.484971927264379</v>
      </c>
      <c r="G61" s="5">
        <v>30.494387284740831</v>
      </c>
      <c r="H61" s="5">
        <v>39.594204407932018</v>
      </c>
      <c r="I61" s="5">
        <v>53.921667308475612</v>
      </c>
      <c r="J61" s="5">
        <v>57.592167134369497</v>
      </c>
      <c r="K61" s="5">
        <v>60.500695234361849</v>
      </c>
    </row>
    <row r="62" spans="1:11">
      <c r="A62" s="3">
        <f t="shared" si="10"/>
        <v>0.20782947261073503</v>
      </c>
      <c r="B62" s="3">
        <f t="shared" si="12"/>
        <v>1.8799999999999994</v>
      </c>
      <c r="D62">
        <f t="shared" si="11"/>
        <v>75.85775750291829</v>
      </c>
      <c r="E62" s="5">
        <v>6.5990742267820233</v>
      </c>
      <c r="F62" s="5">
        <v>15.04116601102519</v>
      </c>
      <c r="G62" s="5">
        <v>26.564778684021132</v>
      </c>
      <c r="H62" s="5">
        <v>35.816207443687318</v>
      </c>
      <c r="I62" s="5">
        <v>51.510079305106814</v>
      </c>
      <c r="J62" s="5">
        <v>56.159883360385884</v>
      </c>
      <c r="K62" s="5">
        <v>58.98063129775668</v>
      </c>
    </row>
    <row r="63" spans="1:11">
      <c r="A63" s="3">
        <f t="shared" si="10"/>
        <v>0.23588869922865752</v>
      </c>
      <c r="B63" s="3">
        <f t="shared" si="12"/>
        <v>1.9349999999999994</v>
      </c>
      <c r="D63">
        <f t="shared" si="11"/>
        <v>86.099375218459997</v>
      </c>
      <c r="E63" s="5">
        <v>4.7000284759206803</v>
      </c>
      <c r="F63" s="5">
        <v>11.903095355179543</v>
      </c>
      <c r="G63" s="5">
        <v>22.714292419110333</v>
      </c>
      <c r="H63" s="5">
        <v>31.962932887680882</v>
      </c>
      <c r="I63" s="5">
        <v>48.905781098997018</v>
      </c>
      <c r="J63" s="5">
        <v>54.71964744981242</v>
      </c>
      <c r="K63" s="5">
        <v>57.474113442309168</v>
      </c>
    </row>
    <row r="64" spans="1:11">
      <c r="A64" s="3">
        <f t="shared" si="10"/>
        <v>0.26773622491939986</v>
      </c>
      <c r="B64" s="3">
        <f t="shared" si="12"/>
        <v>1.9899999999999993</v>
      </c>
      <c r="D64">
        <f t="shared" si="11"/>
        <v>97.723722095580953</v>
      </c>
      <c r="E64" s="5">
        <v>3.1974673285353346</v>
      </c>
      <c r="F64" s="5">
        <v>9.1267626863180471</v>
      </c>
      <c r="G64" s="5">
        <v>19.015692540693671</v>
      </c>
      <c r="H64" s="5">
        <v>28.089173439552869</v>
      </c>
      <c r="I64" s="5">
        <v>46.109910236582195</v>
      </c>
      <c r="J64" s="5">
        <v>53.273442724446831</v>
      </c>
      <c r="K64" s="5">
        <v>55.986114414822758</v>
      </c>
    </row>
    <row r="65" spans="1:11">
      <c r="A65" s="3">
        <f t="shared" si="10"/>
        <v>0.30388351103079453</v>
      </c>
      <c r="B65" s="3">
        <f t="shared" si="12"/>
        <v>2.0449999999999995</v>
      </c>
      <c r="D65">
        <f t="shared" si="11"/>
        <v>110.91748152624001</v>
      </c>
      <c r="E65" s="5">
        <v>2.0647460153127635</v>
      </c>
      <c r="F65" s="5">
        <v>6.7515549362223419</v>
      </c>
      <c r="G65" s="5">
        <v>15.541830152515123</v>
      </c>
      <c r="H65" s="5">
        <v>24.258089099609528</v>
      </c>
      <c r="I65" s="5">
        <v>43.129905316285125</v>
      </c>
      <c r="J65" s="5">
        <v>51.821193908429684</v>
      </c>
      <c r="K65" s="5">
        <v>54.520826828420489</v>
      </c>
    </row>
    <row r="66" spans="1:11">
      <c r="A66" s="3">
        <f t="shared" si="10"/>
        <v>0.3449110717244292</v>
      </c>
      <c r="B66" s="3">
        <f t="shared" si="12"/>
        <v>2.0999999999999996</v>
      </c>
      <c r="D66">
        <f t="shared" si="11"/>
        <v>125.89254117941665</v>
      </c>
      <c r="E66" s="5">
        <v>1.2565535115228543</v>
      </c>
      <c r="F66" s="5">
        <v>4.7952770982313755</v>
      </c>
      <c r="G66" s="5">
        <v>12.361487244774521</v>
      </c>
      <c r="H66" s="5">
        <v>20.538895840747262</v>
      </c>
      <c r="I66" s="5">
        <v>39.980366002909427</v>
      </c>
      <c r="J66" s="5">
        <v>50.362929723298372</v>
      </c>
      <c r="K66" s="5">
        <v>53.081293994181152</v>
      </c>
    </row>
    <row r="67" spans="1:11">
      <c r="A67" s="3">
        <f t="shared" si="10"/>
        <v>0.3914777968523569</v>
      </c>
      <c r="B67" s="3">
        <f t="shared" si="12"/>
        <v>2.1549999999999998</v>
      </c>
      <c r="D67">
        <f t="shared" si="11"/>
        <v>142.88939585111027</v>
      </c>
      <c r="E67" s="5">
        <v>0.71480466748334737</v>
      </c>
      <c r="F67" s="5">
        <v>3.2518554491999083</v>
      </c>
      <c r="G67" s="5">
        <v>9.532712775591456</v>
      </c>
      <c r="H67" s="5">
        <v>17.003524943878723</v>
      </c>
      <c r="I67" s="5">
        <v>36.683394322946178</v>
      </c>
      <c r="J67" s="5">
        <v>48.89730592925504</v>
      </c>
      <c r="K67" s="5">
        <v>51.669727650562749</v>
      </c>
    </row>
    <row r="68" spans="1:11">
      <c r="A68" s="3">
        <f t="shared" si="10"/>
        <v>0.44433153352299465</v>
      </c>
      <c r="B68" s="3">
        <f t="shared" si="12"/>
        <v>2.21</v>
      </c>
      <c r="D68">
        <f t="shared" si="11"/>
        <v>162.18100973589304</v>
      </c>
      <c r="E68" s="5">
        <v>0.37667386218513138</v>
      </c>
      <c r="F68" s="5">
        <v>2.0922899733557925</v>
      </c>
      <c r="G68" s="5">
        <v>7.0977140584947565</v>
      </c>
      <c r="H68" s="5">
        <v>13.722281909960953</v>
      </c>
      <c r="I68" s="5">
        <v>33.269512539621779</v>
      </c>
      <c r="J68" s="5">
        <v>47.422028292780034</v>
      </c>
      <c r="K68" s="5">
        <v>50.286827650869</v>
      </c>
    </row>
    <row r="69" spans="1:11">
      <c r="A69" s="3">
        <f t="shared" si="10"/>
        <v>0.50432109629286492</v>
      </c>
      <c r="B69" s="3">
        <f t="shared" si="12"/>
        <v>2.2650000000000001</v>
      </c>
      <c r="D69">
        <f t="shared" si="11"/>
        <v>184.07720014689568</v>
      </c>
      <c r="E69" s="5">
        <v>0.1822680128627211</v>
      </c>
      <c r="F69" s="5">
        <v>1.2681552940816172</v>
      </c>
      <c r="G69" s="5">
        <v>5.0785441603246309</v>
      </c>
      <c r="H69" s="5">
        <v>10.75830180537478</v>
      </c>
      <c r="I69" s="5">
        <v>29.778149156573008</v>
      </c>
      <c r="J69" s="5">
        <v>45.933135598805613</v>
      </c>
      <c r="K69" s="5">
        <v>48.932906442079478</v>
      </c>
    </row>
    <row r="70" spans="1:11">
      <c r="A70" s="3">
        <f t="shared" si="10"/>
        <v>0.57240989886412097</v>
      </c>
      <c r="B70" s="3">
        <f t="shared" si="12"/>
        <v>2.3200000000000003</v>
      </c>
      <c r="D70">
        <f t="shared" si="11"/>
        <v>208.92961308540416</v>
      </c>
      <c r="E70" s="5">
        <v>8.0427257484113016E-2</v>
      </c>
      <c r="F70" s="5">
        <v>0.71809726085292092</v>
      </c>
      <c r="G70" s="5">
        <v>3.472936892427839</v>
      </c>
      <c r="H70" s="5">
        <v>8.1619931346757522</v>
      </c>
      <c r="I70" s="5">
        <v>26.25715666411454</v>
      </c>
      <c r="J70" s="5">
        <v>44.426454573769242</v>
      </c>
      <c r="K70" s="5">
        <v>47.60631384962867</v>
      </c>
    </row>
    <row r="71" spans="1:11">
      <c r="A71" s="3">
        <f t="shared" si="10"/>
        <v>0.64969142620867348</v>
      </c>
      <c r="B71" s="3">
        <f t="shared" si="12"/>
        <v>2.3750000000000004</v>
      </c>
      <c r="D71">
        <f t="shared" si="11"/>
        <v>237.13737056616583</v>
      </c>
      <c r="E71" s="5">
        <v>3.2526685399280303E-2</v>
      </c>
      <c r="F71" s="5">
        <v>0.37656809983921602</v>
      </c>
      <c r="G71" s="5">
        <v>2.2559797471862799</v>
      </c>
      <c r="H71" s="5">
        <v>5.9656361647653329</v>
      </c>
      <c r="I71" s="5">
        <v>22.762529231452419</v>
      </c>
      <c r="J71" s="5">
        <v>42.895728747415973</v>
      </c>
      <c r="K71" s="5">
        <v>46.305455112931632</v>
      </c>
    </row>
    <row r="72" spans="1:11">
      <c r="A72" s="3">
        <f t="shared" si="10"/>
        <v>0.73740679559641653</v>
      </c>
      <c r="B72" s="3">
        <f t="shared" si="12"/>
        <v>2.4300000000000006</v>
      </c>
      <c r="D72">
        <f t="shared" si="11"/>
        <v>269.15348039269202</v>
      </c>
      <c r="E72" s="5">
        <v>1.235766771303882E-2</v>
      </c>
      <c r="F72" s="5">
        <v>0.18109573753923897</v>
      </c>
      <c r="G72" s="5">
        <v>1.382220449276472</v>
      </c>
      <c r="H72" s="5">
        <v>4.1794037612740222</v>
      </c>
      <c r="I72" s="5">
        <v>19.356019423627593</v>
      </c>
      <c r="J72" s="5">
        <v>41.334039358548353</v>
      </c>
      <c r="K72" s="5">
        <v>45.027609431590236</v>
      </c>
    </row>
    <row r="73" spans="1:11">
      <c r="A73" s="3">
        <f t="shared" si="10"/>
        <v>0.83696468855219708</v>
      </c>
      <c r="B73" s="3">
        <f t="shared" si="12"/>
        <v>2.4850000000000008</v>
      </c>
      <c r="D73">
        <f t="shared" si="11"/>
        <v>305.49211132155193</v>
      </c>
      <c r="E73" s="5">
        <v>4.4866365515657302E-3</v>
      </c>
      <c r="F73" s="5">
        <v>7.9188607763570937E-2</v>
      </c>
      <c r="G73" s="5">
        <v>0.79217569971671398</v>
      </c>
      <c r="H73" s="5">
        <v>2.7904128735931399</v>
      </c>
      <c r="I73" s="5">
        <v>16.10299388117296</v>
      </c>
      <c r="J73" s="5">
        <v>39.732301827425168</v>
      </c>
      <c r="K73" s="5">
        <v>43.769607876732259</v>
      </c>
    </row>
    <row r="74" spans="1:11">
      <c r="A74" s="3">
        <f t="shared" si="10"/>
        <v>0.94996397384255471</v>
      </c>
      <c r="B74" s="3">
        <f t="shared" si="12"/>
        <v>2.5400000000000009</v>
      </c>
      <c r="D74">
        <f t="shared" si="11"/>
        <v>346.73685045253245</v>
      </c>
      <c r="E74" s="5">
        <v>1.9187748258173191E-3</v>
      </c>
      <c r="F74" s="5">
        <v>3.215801960033688E-2</v>
      </c>
      <c r="G74" s="5">
        <v>0.42148385177245234</v>
      </c>
      <c r="H74" s="5">
        <v>1.7642775182604702</v>
      </c>
      <c r="I74" s="5">
        <v>13.068292948931935</v>
      </c>
      <c r="J74" s="5">
        <v>38.080302165377844</v>
      </c>
      <c r="K74" s="5">
        <v>42.527577239108801</v>
      </c>
    </row>
    <row r="75" spans="1:11">
      <c r="A75" s="3">
        <f t="shared" si="10"/>
        <v>1.0782193848103521</v>
      </c>
      <c r="B75" s="3">
        <f t="shared" si="12"/>
        <v>2.5950000000000011</v>
      </c>
      <c r="D75">
        <f t="shared" si="11"/>
        <v>393.55007545577854</v>
      </c>
      <c r="E75" s="5">
        <v>-1.0141888063701096E-4</v>
      </c>
      <c r="F75" s="5">
        <v>1.1672533496669475E-2</v>
      </c>
      <c r="G75" s="5">
        <v>0.20531312487558381</v>
      </c>
      <c r="H75" s="5">
        <v>1.0474791698951076</v>
      </c>
      <c r="I75" s="5">
        <v>10.310102018528443</v>
      </c>
      <c r="J75" s="5">
        <v>36.366887275553175</v>
      </c>
      <c r="K75" s="5">
        <v>41.297785888063707</v>
      </c>
    </row>
    <row r="76" spans="1:11">
      <c r="A76" s="3">
        <f t="shared" si="10"/>
        <v>1.2237906634272999</v>
      </c>
      <c r="B76" s="3">
        <f t="shared" si="12"/>
        <v>2.6500000000000012</v>
      </c>
      <c r="D76">
        <f t="shared" si="11"/>
        <v>446.6835921509645</v>
      </c>
      <c r="E76" s="5">
        <v>1.5226705459000076E-5</v>
      </c>
      <c r="F76" s="5">
        <v>5.1217131919454872E-3</v>
      </c>
      <c r="G76" s="5">
        <v>9.2248688921215835E-2</v>
      </c>
      <c r="H76" s="5">
        <v>0.58052291769389786</v>
      </c>
      <c r="I76" s="5">
        <v>7.8787755536329529</v>
      </c>
      <c r="J76" s="5">
        <v>34.58055100467039</v>
      </c>
      <c r="K76" s="5">
        <v>40.076262390934851</v>
      </c>
    </row>
    <row r="77" spans="1:11">
      <c r="A77" s="3">
        <f t="shared" si="10"/>
        <v>1.3890156391087838</v>
      </c>
      <c r="B77" s="3">
        <f t="shared" si="12"/>
        <v>2.7050000000000014</v>
      </c>
      <c r="D77">
        <f t="shared" si="11"/>
        <v>506.99070827470609</v>
      </c>
      <c r="E77" s="5">
        <v>-5.3978271189036062E-4</v>
      </c>
      <c r="F77" s="5">
        <v>1.9958482505168058E-3</v>
      </c>
      <c r="G77" s="5">
        <v>3.7705628052982165E-2</v>
      </c>
      <c r="H77" s="5">
        <v>0.29665890498430442</v>
      </c>
      <c r="I77" s="5">
        <v>5.8056058102748649</v>
      </c>
      <c r="J77" s="5">
        <v>32.710951094709444</v>
      </c>
      <c r="K77" s="5">
        <v>38.858142399203743</v>
      </c>
    </row>
    <row r="78" spans="1:11">
      <c r="A78" s="3">
        <f t="shared" si="10"/>
        <v>1.5765477735264632</v>
      </c>
      <c r="B78" s="3">
        <f t="shared" si="12"/>
        <v>2.7600000000000016</v>
      </c>
      <c r="D78">
        <f t="shared" si="11"/>
        <v>575.43993733715911</v>
      </c>
      <c r="E78" s="5">
        <v>-1.1842275476609755E-3</v>
      </c>
      <c r="F78" s="5">
        <v>-1.3995053977490239E-4</v>
      </c>
      <c r="G78" s="5">
        <v>1.3848926115917617E-2</v>
      </c>
      <c r="H78" s="5">
        <v>0.13819676885383969</v>
      </c>
      <c r="I78" s="5">
        <v>4.1046848195390861</v>
      </c>
      <c r="J78" s="5">
        <v>30.749961488094325</v>
      </c>
      <c r="K78" s="5">
        <v>37.639264686164921</v>
      </c>
    </row>
    <row r="79" spans="1:11">
      <c r="A79" s="3">
        <f t="shared" si="10"/>
        <v>1.789398774376644</v>
      </c>
      <c r="B79" s="3">
        <f t="shared" si="12"/>
        <v>2.8150000000000017</v>
      </c>
      <c r="D79">
        <f t="shared" si="11"/>
        <v>653.13055264747504</v>
      </c>
      <c r="E79" s="5">
        <v>-1.0238560600260317E-3</v>
      </c>
      <c r="F79" s="5">
        <v>-1.0138185437562209E-3</v>
      </c>
      <c r="G79" s="5">
        <v>4.8823733251665263E-3</v>
      </c>
      <c r="H79" s="5">
        <v>5.8540946635020297E-2</v>
      </c>
      <c r="I79" s="5">
        <v>2.7694261373554863</v>
      </c>
      <c r="J79" s="5">
        <v>28.694568777735245</v>
      </c>
      <c r="K79" s="5">
        <v>36.415337288875286</v>
      </c>
    </row>
    <row r="80" spans="1:11">
      <c r="A80" s="3">
        <f t="shared" si="10"/>
        <v>2.0309869624682766</v>
      </c>
      <c r="B80" s="3">
        <f t="shared" si="12"/>
        <v>2.8700000000000019</v>
      </c>
      <c r="D80">
        <f t="shared" si="11"/>
        <v>741.31024130092089</v>
      </c>
      <c r="E80" s="5">
        <v>-1.1739805527907512E-4</v>
      </c>
      <c r="F80" s="5">
        <v>-6.4795727739070514E-4</v>
      </c>
      <c r="G80" s="5">
        <v>2.2584521858969456E-3</v>
      </c>
      <c r="H80" s="5">
        <v>2.3452246535487331E-2</v>
      </c>
      <c r="I80" s="5">
        <v>1.7722441920220506</v>
      </c>
      <c r="J80" s="5">
        <v>26.546503346451267</v>
      </c>
      <c r="K80" s="5">
        <v>35.181784963172809</v>
      </c>
    </row>
    <row r="81" spans="1:11">
      <c r="A81" s="3">
        <f t="shared" si="10"/>
        <v>2.3051921688909567</v>
      </c>
      <c r="B81" s="3">
        <f t="shared" si="12"/>
        <v>2.925000000000002</v>
      </c>
      <c r="D81">
        <f t="shared" si="11"/>
        <v>841.39514164519926</v>
      </c>
      <c r="E81" s="5">
        <v>5.6326774366434422E-5</v>
      </c>
      <c r="F81" s="5">
        <v>-7.2776632723374945E-4</v>
      </c>
      <c r="G81" s="5">
        <v>5.9047102059566652E-4</v>
      </c>
      <c r="H81" s="5">
        <v>8.8969241252584031E-3</v>
      </c>
      <c r="I81" s="5">
        <v>1.0671295507235281</v>
      </c>
      <c r="J81" s="5">
        <v>24.314136419416585</v>
      </c>
      <c r="K81" s="5">
        <v>33.934126650792436</v>
      </c>
    </row>
    <row r="82" spans="1:11">
      <c r="A82" s="3">
        <f t="shared" si="10"/>
        <v>2.6164180438943587</v>
      </c>
      <c r="B82" s="3">
        <f t="shared" si="12"/>
        <v>2.9800000000000022</v>
      </c>
      <c r="D82">
        <f t="shared" si="11"/>
        <v>954.99258602144096</v>
      </c>
      <c r="E82" s="5">
        <v>6.1556802695046328E-4</v>
      </c>
      <c r="F82" s="5">
        <v>1.5935533266978026E-5</v>
      </c>
      <c r="G82" s="5">
        <v>3.2677605083837385E-4</v>
      </c>
      <c r="H82" s="5">
        <v>4.1190117142638387E-3</v>
      </c>
      <c r="I82" s="5">
        <v>0.60047369175407705</v>
      </c>
      <c r="J82" s="5">
        <v>22.013971004670395</v>
      </c>
      <c r="K82" s="5">
        <v>32.668469378454944</v>
      </c>
    </row>
    <row r="83" spans="1:11">
      <c r="A83" s="3">
        <f t="shared" si="10"/>
        <v>2.9696627781403033</v>
      </c>
      <c r="B83" s="3">
        <f t="shared" si="12"/>
        <v>3.0350000000000024</v>
      </c>
      <c r="D83">
        <f t="shared" si="11"/>
        <v>1083.9269140212107</v>
      </c>
      <c r="E83" s="5">
        <v>-2.1284036444376388E-4</v>
      </c>
      <c r="F83" s="5">
        <v>-8.2045877038511609E-4</v>
      </c>
      <c r="G83" s="5">
        <v>-1.4485096087589007E-3</v>
      </c>
      <c r="H83" s="5">
        <v>4.6711201286272114E-4</v>
      </c>
      <c r="I83" s="5">
        <v>0.31115924018069063</v>
      </c>
      <c r="J83" s="5">
        <v>19.668719610902688</v>
      </c>
      <c r="K83" s="5">
        <v>31.380632511905674</v>
      </c>
    </row>
    <row r="84" spans="1:11">
      <c r="A84" s="3">
        <f t="shared" si="10"/>
        <v>3.3705993720887402</v>
      </c>
      <c r="B84" s="3">
        <f t="shared" si="12"/>
        <v>3.0900000000000025</v>
      </c>
      <c r="D84">
        <f t="shared" si="11"/>
        <v>1230.2687708123901</v>
      </c>
      <c r="E84" s="5">
        <v>3.1803077865400813E-6</v>
      </c>
      <c r="F84" s="5">
        <v>-2.7059306331827582E-4</v>
      </c>
      <c r="G84" s="5">
        <v>-1.1427245999540618E-3</v>
      </c>
      <c r="H84" s="5">
        <v>-3.1250715871679048E-4</v>
      </c>
      <c r="I84" s="5">
        <v>0.14832991532041959</v>
      </c>
      <c r="J84" s="5">
        <v>17.310282062935457</v>
      </c>
      <c r="K84" s="5">
        <v>30.067254540234288</v>
      </c>
    </row>
    <row r="85" spans="1:11">
      <c r="A85" s="3">
        <f t="shared" si="10"/>
        <v>3.8256667426190352</v>
      </c>
      <c r="B85" s="3">
        <f t="shared" si="12"/>
        <v>3.1450000000000027</v>
      </c>
      <c r="D85">
        <f t="shared" si="11"/>
        <v>1396.3683610559478</v>
      </c>
      <c r="E85" s="5">
        <v>-1.8935762958425849E-5</v>
      </c>
      <c r="F85" s="5">
        <v>-8.4731796952760131E-5</v>
      </c>
      <c r="G85" s="5">
        <v>-9.2532577903682719E-4</v>
      </c>
      <c r="H85" s="5">
        <v>-9.2817073730954748E-4</v>
      </c>
      <c r="I85" s="5">
        <v>6.4314971135441393E-2</v>
      </c>
      <c r="J85" s="5">
        <v>14.97487757461144</v>
      </c>
      <c r="K85" s="5">
        <v>28.725162234285278</v>
      </c>
    </row>
    <row r="86" spans="1:11">
      <c r="A86" s="3">
        <f t="shared" si="10"/>
        <v>4.3421731300304813</v>
      </c>
      <c r="B86" s="3">
        <f t="shared" si="12"/>
        <v>3.2000000000000028</v>
      </c>
      <c r="D86">
        <f t="shared" si="11"/>
        <v>1584.8931924611256</v>
      </c>
      <c r="E86" s="5">
        <v>2.55519332363525E-4</v>
      </c>
      <c r="F86" s="5">
        <v>4.0185115994181153E-4</v>
      </c>
      <c r="G86" s="5">
        <v>-1.0309103437715337E-4</v>
      </c>
      <c r="H86" s="5">
        <v>-6.0188714493530362E-4</v>
      </c>
      <c r="I86" s="5">
        <v>2.6040606385422254E-2</v>
      </c>
      <c r="J86" s="5">
        <v>12.703939188423552</v>
      </c>
      <c r="K86" s="5">
        <v>27.351801577214612</v>
      </c>
    </row>
    <row r="87" spans="1:11">
      <c r="A87" s="3">
        <f t="shared" si="10"/>
        <v>4.9284134661063073</v>
      </c>
      <c r="B87" s="3">
        <f t="shared" si="12"/>
        <v>3.255000000000003</v>
      </c>
      <c r="D87">
        <f t="shared" si="11"/>
        <v>1798.8709151288022</v>
      </c>
      <c r="E87" s="5">
        <v>-7.3405252277773534E-5</v>
      </c>
      <c r="F87" s="5">
        <v>2.4826889212158336E-5</v>
      </c>
      <c r="G87" s="5">
        <v>-2.8794257713804456E-4</v>
      </c>
      <c r="H87" s="5">
        <v>-1.0137000229691448E-3</v>
      </c>
      <c r="I87" s="5">
        <v>9.5154919225174193E-3</v>
      </c>
      <c r="J87" s="5">
        <v>10.540527606155731</v>
      </c>
      <c r="K87" s="5">
        <v>25.945367353188885</v>
      </c>
    </row>
    <row r="88" spans="1:11">
      <c r="A88" s="3">
        <f t="shared" si="10"/>
        <v>5.5938025881357429</v>
      </c>
      <c r="B88" s="3">
        <f t="shared" si="12"/>
        <v>3.3100000000000032</v>
      </c>
      <c r="D88">
        <f t="shared" si="11"/>
        <v>2041.7379446695463</v>
      </c>
      <c r="E88" s="5">
        <v>8.5371717326391547E-6</v>
      </c>
      <c r="F88" s="5">
        <v>1.2896301967690068E-4</v>
      </c>
      <c r="G88" s="5">
        <v>7.0750478523849626E-5</v>
      </c>
      <c r="H88" s="5">
        <v>-5.5543159023045707E-4</v>
      </c>
      <c r="I88" s="5">
        <v>3.6294593063318282E-3</v>
      </c>
      <c r="J88" s="5">
        <v>8.5280605238496303</v>
      </c>
      <c r="K88" s="5">
        <v>24.505064736084528</v>
      </c>
    </row>
    <row r="89" spans="1:11">
      <c r="A89" s="3">
        <f t="shared" si="10"/>
        <v>6.3490264382698598</v>
      </c>
      <c r="B89" s="3">
        <f t="shared" si="12"/>
        <v>3.3650000000000033</v>
      </c>
      <c r="D89">
        <f t="shared" si="11"/>
        <v>2317.3946499684989</v>
      </c>
      <c r="E89" s="5">
        <v>3.0093254727815634E-5</v>
      </c>
      <c r="F89" s="5">
        <v>1.4289839981624684E-4</v>
      </c>
      <c r="G89" s="5">
        <v>2.5140050532118522E-4</v>
      </c>
      <c r="H89" s="5">
        <v>-1.2288170890437181E-4</v>
      </c>
      <c r="I89" s="5">
        <v>1.4817877651022127E-3</v>
      </c>
      <c r="J89" s="5">
        <v>6.7055123083990518</v>
      </c>
      <c r="K89" s="5">
        <v>23.031063671847484</v>
      </c>
    </row>
    <row r="90" spans="1:11">
      <c r="A90" s="3">
        <f t="shared" ref="A90:A106" si="13">D90/365</f>
        <v>7.2062136764257696</v>
      </c>
      <c r="B90" s="3">
        <f t="shared" si="12"/>
        <v>3.4200000000000035</v>
      </c>
      <c r="D90">
        <f t="shared" si="11"/>
        <v>2630.2679918954059</v>
      </c>
      <c r="E90" s="5">
        <v>-5.6122348977873057E-5</v>
      </c>
      <c r="F90" s="5">
        <v>-1.4255110634714036E-5</v>
      </c>
      <c r="G90" s="5">
        <v>1.0269642446979558E-4</v>
      </c>
      <c r="H90" s="5">
        <v>-9.1832937753617648E-5</v>
      </c>
      <c r="I90" s="5">
        <v>-1.4617563739376773E-5</v>
      </c>
      <c r="J90" s="5">
        <v>5.1037353502794582</v>
      </c>
      <c r="K90" s="5">
        <v>21.524502942194321</v>
      </c>
    </row>
    <row r="91" spans="1:11">
      <c r="A91" s="3">
        <f t="shared" si="13"/>
        <v>8.1791304627890078</v>
      </c>
      <c r="B91" s="3">
        <f t="shared" si="12"/>
        <v>3.4750000000000036</v>
      </c>
      <c r="D91">
        <f t="shared" ref="D91:D106" si="14">10^B91</f>
        <v>2985.3826189179877</v>
      </c>
      <c r="E91" s="5">
        <v>-2.1120542071816862E-4</v>
      </c>
      <c r="F91" s="5">
        <v>-2.6233703391777047E-4</v>
      </c>
      <c r="G91" s="5">
        <v>-2.2612388025419189E-4</v>
      </c>
      <c r="H91" s="5">
        <v>-3.1886180231222727E-4</v>
      </c>
      <c r="I91" s="5">
        <v>-1.1676980323099306E-3</v>
      </c>
      <c r="J91" s="5">
        <v>3.7438028769619476</v>
      </c>
      <c r="K91" s="5">
        <v>19.987888709134065</v>
      </c>
    </row>
    <row r="92" spans="1:11">
      <c r="A92" s="3">
        <f t="shared" si="13"/>
        <v>9.283401538060426</v>
      </c>
      <c r="B92" s="3">
        <f t="shared" ref="B92:B106" si="15">B91+$B$24</f>
        <v>3.5300000000000038</v>
      </c>
      <c r="D92">
        <f t="shared" si="14"/>
        <v>3388.4415613920555</v>
      </c>
      <c r="E92" s="5">
        <v>-1.9280346068448054E-4</v>
      </c>
      <c r="F92" s="5">
        <v>-2.5626582956894575E-4</v>
      </c>
      <c r="G92" s="5">
        <v>-2.4604088507771229E-4</v>
      </c>
      <c r="H92" s="5">
        <v>-2.3653763111553482E-4</v>
      </c>
      <c r="I92" s="5">
        <v>-1.4032535027945793E-3</v>
      </c>
      <c r="J92" s="5">
        <v>2.6338322696577601</v>
      </c>
      <c r="K92" s="5">
        <v>18.425306362606232</v>
      </c>
    </row>
    <row r="93" spans="1:11">
      <c r="A93" s="3">
        <f t="shared" si="13"/>
        <v>10.536761151927601</v>
      </c>
      <c r="B93" s="3">
        <f t="shared" si="15"/>
        <v>3.585000000000004</v>
      </c>
      <c r="D93">
        <f t="shared" si="14"/>
        <v>3845.9178204535747</v>
      </c>
      <c r="E93" s="5">
        <v>-1.6159206798866858E-4</v>
      </c>
      <c r="F93" s="5">
        <v>-2.251357476456627E-4</v>
      </c>
      <c r="G93" s="5">
        <v>-2.352463057958809E-4</v>
      </c>
      <c r="H93" s="5">
        <v>-1.915828803307557E-4</v>
      </c>
      <c r="I93" s="5">
        <v>-1.2848131077252891E-3</v>
      </c>
      <c r="J93" s="5">
        <v>1.7669350028328612</v>
      </c>
      <c r="K93" s="5">
        <v>16.842383968761965</v>
      </c>
    </row>
    <row r="94" spans="1:11">
      <c r="A94" s="3">
        <f t="shared" si="13"/>
        <v>11.959337869593702</v>
      </c>
      <c r="B94" s="3">
        <f t="shared" si="15"/>
        <v>3.6400000000000041</v>
      </c>
      <c r="D94">
        <f t="shared" si="14"/>
        <v>4365.1583224017013</v>
      </c>
      <c r="E94" s="5">
        <v>-2.3958058341627748E-4</v>
      </c>
      <c r="F94" s="5">
        <v>-3.4488859964780646E-4</v>
      </c>
      <c r="G94" s="5">
        <v>-4.3210979251205882E-4</v>
      </c>
      <c r="H94" s="5">
        <v>-4.3651986831023661E-4</v>
      </c>
      <c r="I94" s="5">
        <v>-1.3511875047852386E-3</v>
      </c>
      <c r="J94" s="5">
        <v>1.1226869676135061</v>
      </c>
      <c r="K94" s="5">
        <v>15.24649717954215</v>
      </c>
    </row>
    <row r="95" spans="1:11">
      <c r="A95" s="3">
        <f t="shared" si="13"/>
        <v>13.573977830268372</v>
      </c>
      <c r="B95" s="3">
        <f t="shared" si="15"/>
        <v>3.6950000000000043</v>
      </c>
      <c r="D95">
        <f t="shared" si="14"/>
        <v>4954.501908047956</v>
      </c>
      <c r="E95" s="5">
        <v>-2.1236168746650334E-4</v>
      </c>
      <c r="F95" s="5">
        <v>-3.1022218819385961E-4</v>
      </c>
      <c r="G95" s="5">
        <v>-4.0822463823596972E-4</v>
      </c>
      <c r="H95" s="5">
        <v>-4.3416323405558535E-4</v>
      </c>
      <c r="I95" s="5">
        <v>-1.0130343771533575E-3</v>
      </c>
      <c r="J95" s="5">
        <v>0.67079970921062715</v>
      </c>
      <c r="K95" s="5">
        <v>13.647889161319961</v>
      </c>
    </row>
    <row r="96" spans="1:11">
      <c r="A96" s="3">
        <f t="shared" si="13"/>
        <v>15.40661164905082</v>
      </c>
      <c r="B96" s="3">
        <f t="shared" si="15"/>
        <v>3.7500000000000044</v>
      </c>
      <c r="D96">
        <f t="shared" si="14"/>
        <v>5623.4132519035493</v>
      </c>
      <c r="E96" s="5">
        <v>-5.5555011101753312E-5</v>
      </c>
      <c r="F96" s="5">
        <v>-8.7479825434499662E-5</v>
      </c>
      <c r="G96" s="5">
        <v>-1.1922410228925811E-4</v>
      </c>
      <c r="H96" s="5">
        <v>-1.0019967843197306E-4</v>
      </c>
      <c r="I96" s="5">
        <v>-2.5489365285965855E-4</v>
      </c>
      <c r="J96" s="5">
        <v>0.37397364857208482</v>
      </c>
      <c r="K96" s="5">
        <v>12.059608505627441</v>
      </c>
    </row>
    <row r="97" spans="1:11">
      <c r="A97" s="3">
        <f t="shared" si="13"/>
        <v>17.486670854535781</v>
      </c>
      <c r="B97" s="3">
        <f t="shared" si="15"/>
        <v>3.8050000000000046</v>
      </c>
      <c r="D97">
        <f t="shared" si="14"/>
        <v>6382.6348619055607</v>
      </c>
      <c r="E97" s="5">
        <v>1.0886088354643596E-4</v>
      </c>
      <c r="F97" s="5">
        <v>1.5213888676211625E-4</v>
      </c>
      <c r="G97" s="5">
        <v>2.1090130924125261E-4</v>
      </c>
      <c r="H97" s="5">
        <v>2.9611913329760355E-4</v>
      </c>
      <c r="I97" s="5">
        <v>5.5875292856595973E-4</v>
      </c>
      <c r="J97" s="5">
        <v>0.19320559666181764</v>
      </c>
      <c r="K97" s="5">
        <v>10.49779355133604</v>
      </c>
    </row>
    <row r="98" spans="1:11">
      <c r="A98" s="3">
        <f t="shared" si="13"/>
        <v>19.847560549999947</v>
      </c>
      <c r="B98" s="3">
        <f t="shared" si="15"/>
        <v>3.8600000000000048</v>
      </c>
      <c r="D98">
        <f t="shared" si="14"/>
        <v>7244.3596007499809</v>
      </c>
      <c r="E98" s="5">
        <v>-2.5738396753694203E-4</v>
      </c>
      <c r="F98" s="5">
        <v>-3.7906990276395381E-4</v>
      </c>
      <c r="G98" s="5">
        <v>-5.4165699410458625E-4</v>
      </c>
      <c r="H98" s="5">
        <v>-6.8357966465048626E-4</v>
      </c>
      <c r="I98" s="5">
        <v>-9.3546435954367977E-4</v>
      </c>
      <c r="J98" s="5">
        <v>8.9518258020059721E-2</v>
      </c>
      <c r="K98" s="5">
        <v>8.9803932780032163</v>
      </c>
    </row>
    <row r="99" spans="1:11">
      <c r="A99" s="3">
        <f t="shared" si="13"/>
        <v>22.527195888961135</v>
      </c>
      <c r="B99" s="3">
        <f t="shared" si="15"/>
        <v>3.9150000000000049</v>
      </c>
      <c r="D99">
        <f t="shared" si="14"/>
        <v>8222.4264994708137</v>
      </c>
      <c r="E99" s="5">
        <v>1.2807457315672615E-4</v>
      </c>
      <c r="F99" s="5">
        <v>1.8442018222188195E-4</v>
      </c>
      <c r="G99" s="5">
        <v>2.56644361074956E-4</v>
      </c>
      <c r="H99" s="5">
        <v>3.3265890819998473E-4</v>
      </c>
      <c r="I99" s="5">
        <v>7.3804042569481667E-4</v>
      </c>
      <c r="J99" s="5">
        <v>3.9872264298292631E-2</v>
      </c>
      <c r="K99" s="5">
        <v>7.5324096249904304</v>
      </c>
    </row>
    <row r="100" spans="1:11">
      <c r="A100" s="3">
        <f t="shared" si="13"/>
        <v>25.568610980739781</v>
      </c>
      <c r="B100" s="3">
        <f t="shared" si="15"/>
        <v>3.9700000000000051</v>
      </c>
      <c r="D100">
        <f t="shared" si="14"/>
        <v>9332.54300797002</v>
      </c>
      <c r="E100" s="5">
        <v>-1.3208636398438099E-5</v>
      </c>
      <c r="F100" s="5">
        <v>-2.0690146236888447E-5</v>
      </c>
      <c r="G100" s="5">
        <v>-3.4128933466043953E-5</v>
      </c>
      <c r="H100" s="5">
        <v>-4.4460914171962337E-5</v>
      </c>
      <c r="I100" s="5">
        <v>8.4192022050379002E-5</v>
      </c>
      <c r="J100" s="5">
        <v>1.5464311614730879E-2</v>
      </c>
      <c r="K100" s="5">
        <v>6.173837409233597</v>
      </c>
    </row>
    <row r="101" spans="1:11">
      <c r="A101" s="3">
        <f t="shared" si="13"/>
        <v>29.020650004857558</v>
      </c>
      <c r="B101" s="3">
        <f t="shared" si="15"/>
        <v>4.0250000000000048</v>
      </c>
      <c r="D101">
        <f t="shared" si="14"/>
        <v>10592.537251773008</v>
      </c>
      <c r="E101" s="5">
        <v>-2.2739912717249829E-5</v>
      </c>
      <c r="F101" s="5">
        <v>-3.4840976954291403E-5</v>
      </c>
      <c r="G101" s="5">
        <v>-5.4080392006737621E-5</v>
      </c>
      <c r="H101" s="5">
        <v>-7.5553326697802627E-5</v>
      </c>
      <c r="I101" s="5">
        <v>-3.0409769542914018E-5</v>
      </c>
      <c r="J101" s="5">
        <v>5.6383039583492844E-3</v>
      </c>
      <c r="K101" s="5">
        <v>4.9294932738687702</v>
      </c>
    </row>
    <row r="102" spans="1:11">
      <c r="A102" s="3">
        <f t="shared" si="13"/>
        <v>32.93875163335413</v>
      </c>
      <c r="B102" s="3">
        <f t="shared" si="15"/>
        <v>4.0800000000000045</v>
      </c>
      <c r="D102">
        <f t="shared" si="14"/>
        <v>12022.644346174258</v>
      </c>
      <c r="E102" s="5">
        <v>8.302794579281832E-5</v>
      </c>
      <c r="F102" s="5">
        <v>1.2147370032922442E-4</v>
      </c>
      <c r="G102" s="5">
        <v>1.7157445831100223E-4</v>
      </c>
      <c r="H102" s="5">
        <v>2.2035357170201367E-4</v>
      </c>
      <c r="I102" s="5">
        <v>4.4643932317586712E-4</v>
      </c>
      <c r="J102" s="5">
        <v>2.9067958043028867E-3</v>
      </c>
      <c r="K102" s="5">
        <v>3.8203947121966162</v>
      </c>
    </row>
    <row r="103" spans="1:11">
      <c r="A103" s="3">
        <f t="shared" si="13"/>
        <v>37.385839358601054</v>
      </c>
      <c r="B103" s="3">
        <f t="shared" si="15"/>
        <v>4.1350000000000042</v>
      </c>
      <c r="D103">
        <f t="shared" si="14"/>
        <v>13645.831365889386</v>
      </c>
      <c r="E103" s="5">
        <v>-1.0800872827501724E-4</v>
      </c>
      <c r="F103" s="5">
        <v>-1.5988040731950082E-4</v>
      </c>
      <c r="G103" s="5">
        <v>-2.3282535793583956E-4</v>
      </c>
      <c r="H103" s="5">
        <v>-3.0935808896715415E-4</v>
      </c>
      <c r="I103" s="5">
        <v>-5.1870209019217524E-4</v>
      </c>
      <c r="J103" s="5">
        <v>-2.0177796493377231E-4</v>
      </c>
      <c r="K103" s="5">
        <v>2.8600887719163928</v>
      </c>
    </row>
    <row r="104" spans="1:11">
      <c r="A104" s="3">
        <f t="shared" si="13"/>
        <v>42.433332024999899</v>
      </c>
      <c r="B104" s="3">
        <f t="shared" si="15"/>
        <v>4.1900000000000039</v>
      </c>
      <c r="D104">
        <f t="shared" si="14"/>
        <v>15488.166189124964</v>
      </c>
      <c r="E104" s="5">
        <v>2.2290176862414825E-5</v>
      </c>
      <c r="F104" s="5">
        <v>3.2624913865707065E-5</v>
      </c>
      <c r="G104" s="5">
        <v>4.6087589005436033E-5</v>
      </c>
      <c r="H104" s="5">
        <v>5.6947860041344472E-5</v>
      </c>
      <c r="I104" s="5">
        <v>1.0975851772452338E-4</v>
      </c>
      <c r="J104" s="5">
        <v>2.3201408774213309E-4</v>
      </c>
      <c r="K104" s="5">
        <v>2.0607612104739301</v>
      </c>
    </row>
    <row r="105" spans="1:11">
      <c r="A105" s="3">
        <f t="shared" si="13"/>
        <v>48.162290793389282</v>
      </c>
      <c r="B105" s="3">
        <f t="shared" si="15"/>
        <v>4.2450000000000037</v>
      </c>
      <c r="D105">
        <f t="shared" si="14"/>
        <v>17579.236139587087</v>
      </c>
      <c r="E105" s="5">
        <v>5.3345838756603633E-5</v>
      </c>
      <c r="F105" s="5">
        <v>7.893714110711279E-5</v>
      </c>
      <c r="G105" s="5">
        <v>1.1399081234208715E-4</v>
      </c>
      <c r="H105" s="5">
        <v>1.4769941045861726E-4</v>
      </c>
      <c r="I105" s="5">
        <v>2.647396064619861E-4</v>
      </c>
      <c r="J105" s="5">
        <v>1.9758058341627749E-4</v>
      </c>
      <c r="K105" s="5">
        <v>1.4205222235663426</v>
      </c>
    </row>
    <row r="106" spans="1:11">
      <c r="A106" s="3">
        <f t="shared" si="13"/>
        <v>54.664720958051973</v>
      </c>
      <c r="B106" s="3">
        <f t="shared" si="15"/>
        <v>4.3000000000000034</v>
      </c>
      <c r="D106">
        <f t="shared" si="14"/>
        <v>19952.62314968897</v>
      </c>
      <c r="E106" s="5">
        <v>2.083025802005972E-5</v>
      </c>
      <c r="F106" s="5">
        <v>3.0842967613505861E-5</v>
      </c>
      <c r="G106" s="5">
        <v>4.4532577903682726E-5</v>
      </c>
      <c r="H106" s="5">
        <v>5.6898706071510608E-5</v>
      </c>
      <c r="I106" s="5">
        <v>9.4046244544828127E-5</v>
      </c>
      <c r="J106" s="5">
        <v>-3.1348105045555472E-4</v>
      </c>
      <c r="K106" s="5">
        <v>0.93078910680652338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/>
  <dimension ref="A1:AI1136"/>
  <sheetViews>
    <sheetView topLeftCell="D4" zoomScale="77" zoomScaleNormal="77" workbookViewId="0">
      <selection activeCell="Z26" sqref="Z26"/>
    </sheetView>
  </sheetViews>
  <sheetFormatPr defaultRowHeight="14.4"/>
  <cols>
    <col min="1" max="1" width="10.5546875" bestFit="1" customWidth="1"/>
    <col min="2" max="2" width="18.109375" customWidth="1"/>
    <col min="3" max="3" width="24.5546875" customWidth="1"/>
    <col min="4" max="4" width="9" customWidth="1"/>
    <col min="5" max="5" width="11" bestFit="1" customWidth="1"/>
  </cols>
  <sheetData>
    <row r="1" spans="3:35">
      <c r="C1" t="s">
        <v>35</v>
      </c>
      <c r="E1">
        <f>E2/E24</f>
        <v>58.811495266894056</v>
      </c>
      <c r="F1">
        <f t="shared" ref="F1:K1" si="0">F2/F24</f>
        <v>215.79682360051928</v>
      </c>
      <c r="G1">
        <f t="shared" si="0"/>
        <v>716.47068590887773</v>
      </c>
      <c r="H1">
        <f t="shared" si="0"/>
        <v>3210.9988422554338</v>
      </c>
      <c r="I1">
        <f t="shared" si="0"/>
        <v>23726.250579026768</v>
      </c>
      <c r="J1">
        <f t="shared" si="0"/>
        <v>476554.48205384496</v>
      </c>
      <c r="K1">
        <f t="shared" si="0"/>
        <v>70726956.166103274</v>
      </c>
    </row>
    <row r="2" spans="3:35">
      <c r="C2" t="s">
        <v>34</v>
      </c>
      <c r="E2">
        <f>SQRT(E3/PI()*43560)</f>
        <v>1053.2076202597823</v>
      </c>
      <c r="F2">
        <f t="shared" ref="F2:K2" si="1">SQRT(F3/PI()*43560)</f>
        <v>1053.2076202597823</v>
      </c>
      <c r="G2">
        <f t="shared" si="1"/>
        <v>1053.2076202597823</v>
      </c>
      <c r="H2">
        <f t="shared" si="1"/>
        <v>1053.2076202597823</v>
      </c>
      <c r="I2">
        <f t="shared" si="1"/>
        <v>1053.2076202597823</v>
      </c>
      <c r="J2">
        <f t="shared" si="1"/>
        <v>1053.2076202597823</v>
      </c>
      <c r="K2">
        <f t="shared" si="1"/>
        <v>1053.2076202597823</v>
      </c>
    </row>
    <row r="3" spans="3:35">
      <c r="C3" s="1" t="s">
        <v>32</v>
      </c>
      <c r="D3" t="s">
        <v>33</v>
      </c>
      <c r="E3" s="3">
        <f>E16*E17/43560</f>
        <v>80</v>
      </c>
      <c r="F3" s="3">
        <f t="shared" ref="F3:K3" si="2">F16*F17/43560</f>
        <v>80</v>
      </c>
      <c r="G3" s="3">
        <f t="shared" si="2"/>
        <v>80</v>
      </c>
      <c r="H3" s="3">
        <f t="shared" si="2"/>
        <v>80</v>
      </c>
      <c r="I3" s="3">
        <f t="shared" si="2"/>
        <v>80</v>
      </c>
      <c r="J3" s="3">
        <f t="shared" si="2"/>
        <v>80</v>
      </c>
      <c r="K3" s="3">
        <f t="shared" si="2"/>
        <v>80</v>
      </c>
    </row>
    <row r="4" spans="3:35"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</row>
    <row r="5" spans="3:35">
      <c r="C5" s="1" t="s">
        <v>0</v>
      </c>
      <c r="D5" s="1" t="s">
        <v>31</v>
      </c>
      <c r="E5" s="4">
        <v>-4</v>
      </c>
      <c r="F5" s="4">
        <v>-2.7</v>
      </c>
      <c r="G5" s="4">
        <v>-1.5</v>
      </c>
      <c r="H5" s="4">
        <v>0</v>
      </c>
      <c r="I5" s="4">
        <v>2</v>
      </c>
      <c r="J5" s="4">
        <v>5</v>
      </c>
      <c r="K5" s="4">
        <v>10</v>
      </c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</row>
    <row r="6" spans="3:35">
      <c r="C6" t="s">
        <v>1</v>
      </c>
      <c r="D6" t="s">
        <v>2</v>
      </c>
      <c r="E6" s="4">
        <v>700</v>
      </c>
      <c r="F6" s="4">
        <f>E6</f>
        <v>700</v>
      </c>
      <c r="G6" s="4">
        <f t="shared" ref="G6:K6" si="3">F6</f>
        <v>700</v>
      </c>
      <c r="H6" s="4">
        <f t="shared" si="3"/>
        <v>700</v>
      </c>
      <c r="I6" s="4">
        <f t="shared" si="3"/>
        <v>700</v>
      </c>
      <c r="J6" s="4">
        <f t="shared" si="3"/>
        <v>700</v>
      </c>
      <c r="K6" s="4">
        <f t="shared" si="3"/>
        <v>700</v>
      </c>
      <c r="L6" s="2"/>
      <c r="M6" s="2"/>
      <c r="N6" s="2"/>
      <c r="O6" s="2"/>
      <c r="P6" s="2"/>
      <c r="Q6" s="2"/>
      <c r="W6" t="s">
        <v>46</v>
      </c>
      <c r="X6" s="10"/>
      <c r="Y6" s="10"/>
      <c r="Z6" s="13">
        <v>4</v>
      </c>
      <c r="AA6" s="10"/>
      <c r="AB6" s="10"/>
      <c r="AC6" s="10"/>
      <c r="AD6" s="10"/>
      <c r="AE6" s="10"/>
      <c r="AF6" s="10"/>
      <c r="AG6" s="10"/>
      <c r="AH6" s="10"/>
      <c r="AI6" s="10"/>
    </row>
    <row r="7" spans="3:35">
      <c r="C7" t="s">
        <v>3</v>
      </c>
      <c r="D7" t="s">
        <v>2</v>
      </c>
      <c r="E7" s="4">
        <v>50</v>
      </c>
      <c r="F7" s="4">
        <f>E7</f>
        <v>50</v>
      </c>
      <c r="G7" s="4">
        <f t="shared" ref="G7" si="4">F7</f>
        <v>50</v>
      </c>
      <c r="H7" s="4">
        <f t="shared" ref="H7" si="5">G7</f>
        <v>50</v>
      </c>
      <c r="I7" s="4">
        <f t="shared" ref="I7" si="6">H7</f>
        <v>50</v>
      </c>
      <c r="J7" s="4">
        <f t="shared" ref="J7" si="7">I7</f>
        <v>50</v>
      </c>
      <c r="K7" s="4">
        <f t="shared" ref="K7" si="8">J7</f>
        <v>50</v>
      </c>
      <c r="L7" s="2"/>
      <c r="M7" s="2"/>
      <c r="N7" s="2"/>
      <c r="O7" s="2"/>
      <c r="P7" s="2"/>
      <c r="Q7" s="2"/>
      <c r="W7" s="10" t="s">
        <v>38</v>
      </c>
      <c r="X7" s="10"/>
      <c r="Y7" s="11" t="s">
        <v>39</v>
      </c>
      <c r="Z7" s="11"/>
      <c r="AA7" s="10"/>
      <c r="AB7" s="10"/>
      <c r="AC7" s="10"/>
      <c r="AD7" s="10"/>
      <c r="AE7" s="10"/>
      <c r="AF7" s="10"/>
      <c r="AG7" s="10"/>
      <c r="AH7" s="10"/>
      <c r="AI7" s="10"/>
    </row>
    <row r="8" spans="3:35">
      <c r="C8" t="s">
        <v>4</v>
      </c>
      <c r="D8" t="s">
        <v>5</v>
      </c>
      <c r="E8" s="4">
        <v>2</v>
      </c>
      <c r="F8" s="4">
        <v>2</v>
      </c>
      <c r="G8" s="4">
        <v>2</v>
      </c>
      <c r="H8" s="4">
        <v>2</v>
      </c>
      <c r="I8" s="4">
        <v>2</v>
      </c>
      <c r="J8" s="4">
        <v>2</v>
      </c>
      <c r="K8" s="4">
        <v>2</v>
      </c>
      <c r="L8" s="2"/>
      <c r="M8" s="2"/>
      <c r="N8" s="2"/>
      <c r="O8" s="2"/>
      <c r="P8" s="2"/>
      <c r="Q8" s="2"/>
      <c r="W8" s="11" t="s">
        <v>43</v>
      </c>
      <c r="X8" s="11" t="s">
        <v>44</v>
      </c>
      <c r="Y8" s="11" t="s">
        <v>41</v>
      </c>
      <c r="Z8" s="11" t="s">
        <v>42</v>
      </c>
      <c r="AA8" s="10" t="s">
        <v>40</v>
      </c>
      <c r="AB8" s="10"/>
      <c r="AC8" s="10"/>
      <c r="AD8" s="10"/>
      <c r="AE8" s="10"/>
      <c r="AF8" s="10"/>
      <c r="AG8" s="10"/>
      <c r="AH8" s="10"/>
      <c r="AI8" s="10"/>
    </row>
    <row r="9" spans="3:35">
      <c r="C9" t="s">
        <v>6</v>
      </c>
      <c r="D9" t="s">
        <v>7</v>
      </c>
      <c r="E9" s="4">
        <v>0.15</v>
      </c>
      <c r="F9" s="4">
        <f>E9</f>
        <v>0.15</v>
      </c>
      <c r="G9" s="4">
        <f t="shared" ref="G9" si="9">F9</f>
        <v>0.15</v>
      </c>
      <c r="H9" s="4">
        <f t="shared" ref="H9" si="10">G9</f>
        <v>0.15</v>
      </c>
      <c r="I9" s="4">
        <f t="shared" ref="I9" si="11">H9</f>
        <v>0.15</v>
      </c>
      <c r="J9" s="4">
        <f t="shared" ref="J9" si="12">I9</f>
        <v>0.15</v>
      </c>
      <c r="K9" s="4">
        <f t="shared" ref="K9" si="13">J9</f>
        <v>0.15</v>
      </c>
      <c r="L9" s="2"/>
      <c r="M9" s="2"/>
      <c r="N9" s="2"/>
      <c r="O9" s="2"/>
      <c r="P9" s="2"/>
      <c r="Q9" s="2"/>
      <c r="W9" s="11">
        <v>0</v>
      </c>
      <c r="X9" s="11">
        <v>0</v>
      </c>
      <c r="Y9" s="11">
        <f>INDEX(Xw,1,$Z$6)</f>
        <v>1320</v>
      </c>
      <c r="Z9" s="11">
        <f>INDEX(Yw,1,$Z$6)</f>
        <v>660</v>
      </c>
      <c r="AA9" s="10">
        <f>Y9-INDEX(xf,1,$Z$6)</f>
        <v>1319.672</v>
      </c>
      <c r="AB9" s="10">
        <f>Z9</f>
        <v>660</v>
      </c>
      <c r="AC9" s="10"/>
      <c r="AD9" s="10"/>
      <c r="AE9" s="10"/>
      <c r="AF9" s="10"/>
      <c r="AG9" s="10"/>
      <c r="AH9" s="10"/>
      <c r="AI9" s="10"/>
    </row>
    <row r="10" spans="3:35">
      <c r="C10" t="s">
        <v>8</v>
      </c>
      <c r="D10" t="s">
        <v>9</v>
      </c>
      <c r="E10" s="4">
        <v>0.185</v>
      </c>
      <c r="F10" s="4">
        <f t="shared" ref="F10:F23" si="14">E10</f>
        <v>0.185</v>
      </c>
      <c r="G10" s="4">
        <f t="shared" ref="G10:G23" si="15">F10</f>
        <v>0.185</v>
      </c>
      <c r="H10" s="4">
        <f t="shared" ref="H10:H23" si="16">G10</f>
        <v>0.185</v>
      </c>
      <c r="I10" s="4">
        <f t="shared" ref="I10:I23" si="17">H10</f>
        <v>0.185</v>
      </c>
      <c r="J10" s="4">
        <f t="shared" ref="J10:J23" si="18">I10</f>
        <v>0.185</v>
      </c>
      <c r="K10" s="4">
        <f t="shared" ref="K10:K23" si="19">J10</f>
        <v>0.185</v>
      </c>
      <c r="L10" s="2"/>
      <c r="M10" s="2"/>
      <c r="N10" s="2"/>
      <c r="O10" s="2"/>
      <c r="P10" s="2"/>
      <c r="Q10" s="2"/>
      <c r="W10" s="11">
        <f>INDEX(Xe,1,$Z$6)</f>
        <v>2640</v>
      </c>
      <c r="X10" s="11">
        <v>0</v>
      </c>
      <c r="Y10" s="10"/>
      <c r="Z10" s="10"/>
      <c r="AA10" s="10">
        <f>Y9+INDEX(xf,1,$Z$6)</f>
        <v>1320.328</v>
      </c>
      <c r="AB10" s="10">
        <f>Z9</f>
        <v>660</v>
      </c>
      <c r="AC10" s="10"/>
      <c r="AD10" s="10"/>
      <c r="AE10" s="10"/>
      <c r="AF10" s="10"/>
      <c r="AG10" s="10"/>
      <c r="AH10" s="10"/>
      <c r="AI10" s="10"/>
    </row>
    <row r="11" spans="3:35">
      <c r="C11" t="s">
        <v>10</v>
      </c>
      <c r="D11" t="s">
        <v>11</v>
      </c>
      <c r="E11" s="4">
        <v>2.6999999999999999E-5</v>
      </c>
      <c r="F11" s="4">
        <f t="shared" si="14"/>
        <v>2.6999999999999999E-5</v>
      </c>
      <c r="G11" s="4">
        <f t="shared" si="15"/>
        <v>2.6999999999999999E-5</v>
      </c>
      <c r="H11" s="4">
        <f t="shared" si="16"/>
        <v>2.6999999999999999E-5</v>
      </c>
      <c r="I11" s="4">
        <f t="shared" si="17"/>
        <v>2.6999999999999999E-5</v>
      </c>
      <c r="J11" s="4">
        <f t="shared" si="18"/>
        <v>2.6999999999999999E-5</v>
      </c>
      <c r="K11" s="4">
        <f t="shared" si="19"/>
        <v>2.6999999999999999E-5</v>
      </c>
      <c r="L11" s="2"/>
      <c r="M11" s="2"/>
      <c r="N11" s="2"/>
      <c r="O11" s="2"/>
      <c r="P11" s="2"/>
      <c r="Q11" s="2"/>
      <c r="W11" s="11">
        <f>W10</f>
        <v>2640</v>
      </c>
      <c r="X11" s="11">
        <f>INDEX(Ye,1,$Z$6)</f>
        <v>1320</v>
      </c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</row>
    <row r="12" spans="3:35">
      <c r="C12" t="s">
        <v>12</v>
      </c>
      <c r="D12" t="s">
        <v>13</v>
      </c>
      <c r="E12" s="4">
        <v>1.3</v>
      </c>
      <c r="F12" s="4">
        <f t="shared" si="14"/>
        <v>1.3</v>
      </c>
      <c r="G12" s="4">
        <f t="shared" si="15"/>
        <v>1.3</v>
      </c>
      <c r="H12" s="4">
        <f t="shared" si="16"/>
        <v>1.3</v>
      </c>
      <c r="I12" s="4">
        <f t="shared" si="17"/>
        <v>1.3</v>
      </c>
      <c r="J12" s="4">
        <f t="shared" si="18"/>
        <v>1.3</v>
      </c>
      <c r="K12" s="4">
        <f t="shared" si="19"/>
        <v>1.3</v>
      </c>
      <c r="L12" s="2"/>
      <c r="M12" s="2"/>
      <c r="N12" s="2"/>
      <c r="O12" s="2"/>
      <c r="P12" s="2"/>
      <c r="Q12" s="2"/>
      <c r="W12" s="11">
        <v>0</v>
      </c>
      <c r="X12" s="11">
        <f>X11</f>
        <v>1320</v>
      </c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</row>
    <row r="13" spans="3:35">
      <c r="C13" t="s">
        <v>14</v>
      </c>
      <c r="D13" t="s">
        <v>15</v>
      </c>
      <c r="E13" s="4">
        <v>12</v>
      </c>
      <c r="F13" s="4">
        <f t="shared" si="14"/>
        <v>12</v>
      </c>
      <c r="G13" s="4">
        <f t="shared" si="15"/>
        <v>12</v>
      </c>
      <c r="H13" s="4">
        <f t="shared" si="16"/>
        <v>12</v>
      </c>
      <c r="I13" s="4">
        <f t="shared" si="17"/>
        <v>12</v>
      </c>
      <c r="J13" s="4">
        <f t="shared" si="18"/>
        <v>12</v>
      </c>
      <c r="K13" s="4">
        <f t="shared" si="19"/>
        <v>12</v>
      </c>
      <c r="L13" s="2"/>
      <c r="M13" s="2"/>
      <c r="N13" s="2"/>
      <c r="O13" s="2"/>
      <c r="P13" s="2"/>
      <c r="Q13" s="2"/>
      <c r="W13" s="11">
        <v>0</v>
      </c>
      <c r="X13" s="11">
        <v>0</v>
      </c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</row>
    <row r="14" spans="3:35">
      <c r="C14" t="s">
        <v>29</v>
      </c>
      <c r="D14" t="s">
        <v>15</v>
      </c>
      <c r="E14" s="4">
        <v>0.32800000000000001</v>
      </c>
      <c r="F14" s="4">
        <f t="shared" si="14"/>
        <v>0.32800000000000001</v>
      </c>
      <c r="G14" s="4">
        <f t="shared" si="15"/>
        <v>0.32800000000000001</v>
      </c>
      <c r="H14" s="4">
        <f t="shared" si="16"/>
        <v>0.32800000000000001</v>
      </c>
      <c r="I14" s="4">
        <f t="shared" si="17"/>
        <v>0.32800000000000001</v>
      </c>
      <c r="J14" s="4">
        <f t="shared" si="18"/>
        <v>0.32800000000000001</v>
      </c>
      <c r="K14" s="4">
        <f t="shared" si="19"/>
        <v>0.32800000000000001</v>
      </c>
      <c r="L14" s="2"/>
      <c r="M14" s="2"/>
      <c r="N14" s="2"/>
      <c r="O14" s="2"/>
      <c r="P14" s="2"/>
      <c r="Q14" s="2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</row>
    <row r="15" spans="3:35">
      <c r="C15" t="s">
        <v>16</v>
      </c>
      <c r="D15" t="s">
        <v>15</v>
      </c>
      <c r="E15" s="4">
        <f>E14</f>
        <v>0.32800000000000001</v>
      </c>
      <c r="F15" s="4">
        <f t="shared" ref="F15:K15" si="20">F14</f>
        <v>0.32800000000000001</v>
      </c>
      <c r="G15" s="4">
        <f t="shared" si="20"/>
        <v>0.32800000000000001</v>
      </c>
      <c r="H15" s="4">
        <f t="shared" si="20"/>
        <v>0.32800000000000001</v>
      </c>
      <c r="I15" s="4">
        <f t="shared" si="20"/>
        <v>0.32800000000000001</v>
      </c>
      <c r="J15" s="4">
        <f t="shared" si="20"/>
        <v>0.32800000000000001</v>
      </c>
      <c r="K15" s="4">
        <f t="shared" si="20"/>
        <v>0.32800000000000001</v>
      </c>
      <c r="L15" s="2"/>
      <c r="M15" s="2"/>
      <c r="N15" s="2"/>
      <c r="O15" s="2"/>
      <c r="P15" s="2"/>
      <c r="Q15" s="2"/>
      <c r="W15" s="12" t="s">
        <v>32</v>
      </c>
      <c r="X15" s="11">
        <f>W11*X11/43560</f>
        <v>80</v>
      </c>
      <c r="Y15" s="12" t="s">
        <v>45</v>
      </c>
      <c r="Z15" s="10"/>
      <c r="AA15" s="10"/>
      <c r="AB15" s="10"/>
      <c r="AC15" s="10"/>
      <c r="AD15" s="10"/>
      <c r="AE15" s="10"/>
      <c r="AF15" s="10"/>
      <c r="AG15" s="10"/>
      <c r="AH15" s="10"/>
      <c r="AI15" s="10"/>
    </row>
    <row r="16" spans="3:35">
      <c r="C16" t="s">
        <v>17</v>
      </c>
      <c r="D16" t="s">
        <v>15</v>
      </c>
      <c r="E16" s="4">
        <f>5280/2</f>
        <v>2640</v>
      </c>
      <c r="F16" s="4">
        <f t="shared" si="14"/>
        <v>2640</v>
      </c>
      <c r="G16" s="4">
        <f t="shared" si="15"/>
        <v>2640</v>
      </c>
      <c r="H16" s="4">
        <f t="shared" si="16"/>
        <v>2640</v>
      </c>
      <c r="I16" s="4">
        <f t="shared" si="17"/>
        <v>2640</v>
      </c>
      <c r="J16" s="4">
        <f t="shared" si="18"/>
        <v>2640</v>
      </c>
      <c r="K16" s="4">
        <f t="shared" si="19"/>
        <v>2640</v>
      </c>
      <c r="L16" s="2"/>
      <c r="M16" s="2"/>
      <c r="N16" s="2"/>
      <c r="O16" s="2"/>
      <c r="P16" s="2"/>
      <c r="Q16" s="2"/>
      <c r="W16" s="10" t="str">
        <f>"Model Geometry &amp; Well Location" &amp;CHAR(13)&amp; "Area: " &amp; ROUND(X15,0) &amp; "Acres"</f>
        <v>Model Geometry &amp; Well Location_x000D_Area: 80Acres</v>
      </c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</row>
    <row r="17" spans="1:35">
      <c r="C17" t="s">
        <v>18</v>
      </c>
      <c r="D17" t="s">
        <v>15</v>
      </c>
      <c r="E17" s="4">
        <f>5280/4</f>
        <v>1320</v>
      </c>
      <c r="F17" s="4">
        <f t="shared" si="14"/>
        <v>1320</v>
      </c>
      <c r="G17" s="4">
        <f t="shared" si="15"/>
        <v>1320</v>
      </c>
      <c r="H17" s="4">
        <f t="shared" si="16"/>
        <v>1320</v>
      </c>
      <c r="I17" s="4">
        <f t="shared" si="17"/>
        <v>1320</v>
      </c>
      <c r="J17" s="4">
        <f t="shared" si="18"/>
        <v>1320</v>
      </c>
      <c r="K17" s="4">
        <f t="shared" si="19"/>
        <v>1320</v>
      </c>
      <c r="L17" s="2"/>
      <c r="M17" s="2"/>
      <c r="N17" s="2"/>
      <c r="O17" s="2"/>
      <c r="P17" s="2"/>
      <c r="Q17" s="2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</row>
    <row r="18" spans="1:35">
      <c r="C18" t="s">
        <v>19</v>
      </c>
      <c r="D18" t="s">
        <v>15</v>
      </c>
      <c r="E18" s="4">
        <f>Xe/2</f>
        <v>1320</v>
      </c>
      <c r="F18" s="4">
        <f t="shared" si="14"/>
        <v>1320</v>
      </c>
      <c r="G18" s="4">
        <f t="shared" si="15"/>
        <v>1320</v>
      </c>
      <c r="H18" s="4">
        <f t="shared" si="16"/>
        <v>1320</v>
      </c>
      <c r="I18" s="4">
        <f t="shared" si="17"/>
        <v>1320</v>
      </c>
      <c r="J18" s="4">
        <f t="shared" si="18"/>
        <v>1320</v>
      </c>
      <c r="K18" s="4">
        <f t="shared" si="19"/>
        <v>1320</v>
      </c>
      <c r="L18" s="2"/>
      <c r="M18" s="2"/>
      <c r="N18" s="2"/>
      <c r="O18" s="2"/>
      <c r="P18" s="2"/>
      <c r="Q18" s="2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</row>
    <row r="19" spans="1:35">
      <c r="C19" t="s">
        <v>20</v>
      </c>
      <c r="D19" t="s">
        <v>15</v>
      </c>
      <c r="E19" s="4">
        <f>5280/8</f>
        <v>660</v>
      </c>
      <c r="F19" s="4">
        <f t="shared" si="14"/>
        <v>660</v>
      </c>
      <c r="G19" s="4">
        <f t="shared" si="15"/>
        <v>660</v>
      </c>
      <c r="H19" s="4">
        <f t="shared" si="16"/>
        <v>660</v>
      </c>
      <c r="I19" s="4">
        <f t="shared" si="17"/>
        <v>660</v>
      </c>
      <c r="J19" s="4">
        <f t="shared" si="18"/>
        <v>660</v>
      </c>
      <c r="K19" s="4">
        <f t="shared" si="19"/>
        <v>660</v>
      </c>
      <c r="L19" s="2"/>
      <c r="M19" s="2"/>
      <c r="N19" s="2"/>
      <c r="O19" s="2"/>
      <c r="P19" s="2"/>
      <c r="Q19" s="2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</row>
    <row r="20" spans="1:35">
      <c r="C20" t="s">
        <v>21</v>
      </c>
      <c r="E20" s="4">
        <f>E5</f>
        <v>-4</v>
      </c>
      <c r="F20" s="4">
        <f t="shared" ref="F20:K20" si="21">F5</f>
        <v>-2.7</v>
      </c>
      <c r="G20" s="4">
        <f t="shared" si="21"/>
        <v>-1.5</v>
      </c>
      <c r="H20" s="4">
        <f t="shared" si="21"/>
        <v>0</v>
      </c>
      <c r="I20" s="4">
        <f t="shared" si="21"/>
        <v>2</v>
      </c>
      <c r="J20" s="4">
        <f t="shared" si="21"/>
        <v>5</v>
      </c>
      <c r="K20" s="4">
        <f t="shared" si="21"/>
        <v>10</v>
      </c>
      <c r="L20" s="2"/>
      <c r="M20" s="2"/>
      <c r="N20" s="2"/>
      <c r="O20" s="2"/>
      <c r="P20" s="2"/>
      <c r="Q20" s="2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</row>
    <row r="21" spans="1:35">
      <c r="C21" t="s">
        <v>22</v>
      </c>
      <c r="E21" s="4">
        <v>0</v>
      </c>
      <c r="F21" s="4">
        <f t="shared" si="14"/>
        <v>0</v>
      </c>
      <c r="G21" s="4">
        <f t="shared" si="15"/>
        <v>0</v>
      </c>
      <c r="H21" s="4">
        <f t="shared" si="16"/>
        <v>0</v>
      </c>
      <c r="I21" s="4">
        <f t="shared" si="17"/>
        <v>0</v>
      </c>
      <c r="J21" s="4">
        <f t="shared" si="18"/>
        <v>0</v>
      </c>
      <c r="K21" s="4">
        <f t="shared" si="19"/>
        <v>0</v>
      </c>
      <c r="L21" s="2"/>
      <c r="M21" s="2"/>
      <c r="N21" s="2"/>
      <c r="O21" s="2"/>
      <c r="P21" s="2"/>
      <c r="Q21" s="2"/>
    </row>
    <row r="22" spans="1:35">
      <c r="C22" t="s">
        <v>23</v>
      </c>
      <c r="D22" t="s">
        <v>24</v>
      </c>
      <c r="E22" s="4">
        <v>1</v>
      </c>
      <c r="F22" s="4">
        <f t="shared" si="14"/>
        <v>1</v>
      </c>
      <c r="G22" s="4">
        <f t="shared" si="15"/>
        <v>1</v>
      </c>
      <c r="H22" s="4">
        <f t="shared" si="16"/>
        <v>1</v>
      </c>
      <c r="I22" s="4">
        <f t="shared" si="17"/>
        <v>1</v>
      </c>
      <c r="J22" s="4">
        <f t="shared" si="18"/>
        <v>1</v>
      </c>
      <c r="K22" s="4">
        <f t="shared" si="19"/>
        <v>1</v>
      </c>
      <c r="L22" s="2"/>
      <c r="M22" s="2"/>
      <c r="N22" s="2"/>
      <c r="O22" s="2"/>
      <c r="P22" s="2"/>
      <c r="Q22" s="2"/>
    </row>
    <row r="23" spans="1:35">
      <c r="C23" t="s">
        <v>25</v>
      </c>
      <c r="D23" t="s">
        <v>24</v>
      </c>
      <c r="E23" s="4">
        <v>1</v>
      </c>
      <c r="F23" s="4">
        <f t="shared" si="14"/>
        <v>1</v>
      </c>
      <c r="G23" s="4">
        <f t="shared" si="15"/>
        <v>1</v>
      </c>
      <c r="H23" s="4">
        <f t="shared" si="16"/>
        <v>1</v>
      </c>
      <c r="I23" s="4">
        <f t="shared" si="17"/>
        <v>1</v>
      </c>
      <c r="J23" s="4">
        <f t="shared" si="18"/>
        <v>1</v>
      </c>
      <c r="K23" s="4">
        <f t="shared" si="19"/>
        <v>1</v>
      </c>
      <c r="L23" s="2"/>
      <c r="M23" s="2"/>
      <c r="N23" s="2"/>
      <c r="O23" s="2"/>
      <c r="P23" s="2"/>
      <c r="Q23" s="2"/>
    </row>
    <row r="24" spans="1:35">
      <c r="B24" s="3">
        <v>5.5E-2</v>
      </c>
      <c r="C24" t="s">
        <v>30</v>
      </c>
      <c r="E24" s="7">
        <f>E14*EXP(-E20)</f>
        <v>17.90819321087131</v>
      </c>
      <c r="F24" s="7">
        <f t="shared" ref="F24:K24" si="22">F14*EXP(-F20)</f>
        <v>4.8805520057582905</v>
      </c>
      <c r="G24" s="7">
        <f t="shared" si="22"/>
        <v>1.4699940150708852</v>
      </c>
      <c r="H24" s="7">
        <f t="shared" si="22"/>
        <v>0.32800000000000001</v>
      </c>
      <c r="I24" s="7">
        <f t="shared" si="22"/>
        <v>4.4389972901608968E-2</v>
      </c>
      <c r="J24" s="7">
        <f t="shared" si="22"/>
        <v>2.2100466157000333E-3</v>
      </c>
      <c r="K24" s="7">
        <f t="shared" si="22"/>
        <v>1.4891176962095033E-5</v>
      </c>
    </row>
    <row r="25" spans="1:35" ht="28.8">
      <c r="A25" s="6" t="s">
        <v>28</v>
      </c>
      <c r="B25" s="6" t="s">
        <v>27</v>
      </c>
      <c r="C25" s="6"/>
      <c r="D25" s="6" t="s">
        <v>26</v>
      </c>
    </row>
    <row r="26" spans="1:35">
      <c r="A26" s="3">
        <f t="shared" ref="A26:A57" si="23">D26/365</f>
        <v>8.4931506849315067E-2</v>
      </c>
      <c r="B26" s="4">
        <v>0.3</v>
      </c>
      <c r="C26">
        <f>10^B26</f>
        <v>1.9952623149688797</v>
      </c>
      <c r="D26" s="5">
        <v>31</v>
      </c>
      <c r="E26" s="5">
        <f t="array" ref="E26:E106">qVSqNFB($D$26:$D$106,E$6,E$7,E$8,E$9,E$10,E$11,E$12,E$13,E$14,E$15,E$16,E$17,E$18,E$19,E$20,E$21,E$22,E$23)</f>
        <v>96.654452960263384</v>
      </c>
      <c r="F26" s="5">
        <f t="array" ref="F26:F106">qVSqNFB($D$26:$D$106,F$6,F$7,F$8,F$9,F$10,F$11,F$12,F$13,F$14,F$15,F$16,F$17,F$18,F$19,F$20,F$21,F$22,F$23)</f>
        <v>77.10968501615497</v>
      </c>
      <c r="G26" s="5">
        <f t="array" ref="G26:G106">qVSqNFB($D$26:$D$106,G$6,G$7,G$8,G$9,G$10,G$11,G$12,G$13,G$14,G$15,G$16,G$17,G$18,G$19,G$20,G$21,G$22,G$23)</f>
        <v>64.580600555087671</v>
      </c>
      <c r="H26" s="5">
        <f t="array" ref="H26:H106">qVSqNFB($D$26:$D$106,H$6,H$7,H$8,H$9,H$10,H$11,H$12,H$13,H$14,H$15,H$16,H$17,H$18,H$19,H$20,H$21,H$22,H$23)</f>
        <v>50.941170599494683</v>
      </c>
      <c r="I26" s="5">
        <f t="array" ref="I26:I106">qVSqNFB($D$26:$D$106,I$6,I$7,I$8,I$9,I$10,I$11,I$12,I$13,I$14,I$15,I$16,I$17,I$18,I$19,I$20,I$21,I$22,I$23)</f>
        <v>41.799287968761966</v>
      </c>
      <c r="J26" s="5">
        <f t="array" ref="J26:J106">qVSqNFB($D$26:$D$106,J$6,J$7,J$8,J$9,J$10,J$11,J$12,J$13,J$14,J$15,J$16,J$17,J$18,J$19,J$20,J$21,J$22,J$23)</f>
        <v>32.894336430135525</v>
      </c>
      <c r="K26" s="5">
        <f t="array" ref="K26:K106">qVSqNFB($D$26:$D$106,K$6,K$7,K$8,K$9,K$10,K$11,K$12,K$13,K$14,K$15,K$16,K$17,K$18,K$19,K$20,K$21,K$22,K$23)</f>
        <v>24.250669815481203</v>
      </c>
    </row>
    <row r="27" spans="1:35">
      <c r="A27" s="3">
        <f t="shared" si="23"/>
        <v>0.16164383561643836</v>
      </c>
      <c r="B27" s="3">
        <f>B26+$B$24</f>
        <v>0.35499999999999998</v>
      </c>
      <c r="D27" s="5">
        <v>59</v>
      </c>
      <c r="E27" s="5">
        <v>75.695272173493606</v>
      </c>
      <c r="F27" s="5">
        <v>64.365144467192408</v>
      </c>
      <c r="G27" s="5">
        <v>55.84850308720619</v>
      </c>
      <c r="H27" s="5">
        <v>45.62676323175868</v>
      </c>
      <c r="I27" s="5">
        <v>38.268201369573539</v>
      </c>
      <c r="J27" s="5">
        <v>30.733391089503105</v>
      </c>
      <c r="K27" s="5">
        <v>23.088739290406554</v>
      </c>
    </row>
    <row r="28" spans="1:35">
      <c r="A28" s="3">
        <f t="shared" si="23"/>
        <v>0.24657534246575341</v>
      </c>
      <c r="B28" s="3">
        <f t="shared" ref="B28:B91" si="24">B27+$B$24</f>
        <v>0.41</v>
      </c>
      <c r="D28" s="5">
        <v>90</v>
      </c>
      <c r="E28" s="5">
        <v>58.161072273792207</v>
      </c>
      <c r="F28" s="5">
        <v>52.996784346527832</v>
      </c>
      <c r="G28" s="5">
        <v>47.775702361534343</v>
      </c>
      <c r="H28" s="5">
        <v>40.535252034606849</v>
      </c>
      <c r="I28" s="5">
        <v>34.808799094862572</v>
      </c>
      <c r="J28" s="5">
        <v>28.571905606002606</v>
      </c>
      <c r="K28" s="5">
        <v>21.903855701247991</v>
      </c>
    </row>
    <row r="29" spans="1:35">
      <c r="A29" s="3">
        <f t="shared" si="23"/>
        <v>0.32876712328767121</v>
      </c>
      <c r="B29" s="3">
        <f t="shared" si="24"/>
        <v>0.46499999999999997</v>
      </c>
      <c r="D29" s="5">
        <v>120</v>
      </c>
      <c r="E29" s="5">
        <v>45.081828850777121</v>
      </c>
      <c r="F29" s="5">
        <v>43.921184901002988</v>
      </c>
      <c r="G29" s="5">
        <v>41.084715216599037</v>
      </c>
      <c r="H29" s="5">
        <v>36.155994837914406</v>
      </c>
      <c r="I29" s="5">
        <v>31.76374714462905</v>
      </c>
      <c r="J29" s="5">
        <v>26.628161828650182</v>
      </c>
      <c r="K29" s="5">
        <v>20.816973675981931</v>
      </c>
    </row>
    <row r="30" spans="1:35">
      <c r="A30" s="3">
        <f t="shared" si="23"/>
        <v>0.41369863013698632</v>
      </c>
      <c r="B30" s="3">
        <f t="shared" si="24"/>
        <v>0.52</v>
      </c>
      <c r="D30" s="5">
        <v>151</v>
      </c>
      <c r="E30" s="5">
        <v>34.648754445295154</v>
      </c>
      <c r="F30" s="5">
        <v>36.172915169129467</v>
      </c>
      <c r="G30" s="5">
        <v>35.154095346298142</v>
      </c>
      <c r="H30" s="5">
        <v>32.127408289411228</v>
      </c>
      <c r="I30" s="5">
        <v>28.89693421024424</v>
      </c>
      <c r="J30" s="5">
        <v>24.758561048618027</v>
      </c>
      <c r="K30" s="5">
        <v>19.750560053288417</v>
      </c>
    </row>
    <row r="31" spans="1:35">
      <c r="A31" s="3">
        <f t="shared" si="23"/>
        <v>0.49589041095890413</v>
      </c>
      <c r="B31" s="3">
        <f t="shared" si="24"/>
        <v>0.57500000000000007</v>
      </c>
      <c r="D31" s="5">
        <v>181</v>
      </c>
      <c r="E31" s="5">
        <v>26.857627057499428</v>
      </c>
      <c r="F31" s="5">
        <v>29.978878208866089</v>
      </c>
      <c r="G31" s="5">
        <v>30.231336063394846</v>
      </c>
      <c r="H31" s="5">
        <v>28.656738147461912</v>
      </c>
      <c r="I31" s="5">
        <v>26.369233821912566</v>
      </c>
      <c r="J31" s="5">
        <v>23.074370049307099</v>
      </c>
      <c r="K31" s="5">
        <v>18.770604041803843</v>
      </c>
    </row>
    <row r="32" spans="1:35">
      <c r="A32" s="3">
        <f t="shared" si="23"/>
        <v>0.58082191780821912</v>
      </c>
      <c r="B32" s="3">
        <f t="shared" si="24"/>
        <v>0.63000000000000012</v>
      </c>
      <c r="D32" s="5">
        <v>212</v>
      </c>
      <c r="E32" s="5">
        <v>20.642304189725138</v>
      </c>
      <c r="F32" s="5">
        <v>24.690289005129777</v>
      </c>
      <c r="G32" s="5">
        <v>25.867446115305107</v>
      </c>
      <c r="H32" s="5">
        <v>25.463757597427456</v>
      </c>
      <c r="I32" s="5">
        <v>23.989316649720543</v>
      </c>
      <c r="J32" s="5">
        <v>21.454303682719548</v>
      </c>
      <c r="K32" s="5">
        <v>17.809031283362685</v>
      </c>
    </row>
    <row r="33" spans="1:11">
      <c r="A33" s="3">
        <f t="shared" si="23"/>
        <v>0.66575342465753429</v>
      </c>
      <c r="B33" s="3">
        <f t="shared" si="24"/>
        <v>0.68500000000000016</v>
      </c>
      <c r="D33" s="5">
        <v>243</v>
      </c>
      <c r="E33" s="5">
        <v>15.865425508307174</v>
      </c>
      <c r="F33" s="5">
        <v>20.33496195926805</v>
      </c>
      <c r="G33" s="5">
        <v>22.133401515963559</v>
      </c>
      <c r="H33" s="5">
        <v>22.626625662506701</v>
      </c>
      <c r="I33" s="5">
        <v>21.82425511155348</v>
      </c>
      <c r="J33" s="5">
        <v>19.94801211009877</v>
      </c>
      <c r="K33" s="5">
        <v>16.89674009846107</v>
      </c>
    </row>
    <row r="34" spans="1:11">
      <c r="A34" s="3">
        <f t="shared" si="23"/>
        <v>0.74794520547945209</v>
      </c>
      <c r="B34" s="3">
        <f t="shared" si="24"/>
        <v>0.74000000000000021</v>
      </c>
      <c r="D34" s="5">
        <v>273</v>
      </c>
      <c r="E34" s="5">
        <v>12.298208720006125</v>
      </c>
      <c r="F34" s="5">
        <v>16.852832488936528</v>
      </c>
      <c r="G34" s="5">
        <v>19.034050078401346</v>
      </c>
      <c r="H34" s="5">
        <v>20.182424673149072</v>
      </c>
      <c r="I34" s="5">
        <v>19.915298087435879</v>
      </c>
      <c r="J34" s="5">
        <v>18.591107644437642</v>
      </c>
      <c r="K34" s="5">
        <v>16.058408084679581</v>
      </c>
    </row>
    <row r="35" spans="1:11">
      <c r="A35" s="3">
        <f t="shared" si="23"/>
        <v>0.83287671232876714</v>
      </c>
      <c r="B35" s="3">
        <f t="shared" si="24"/>
        <v>0.79500000000000026</v>
      </c>
      <c r="D35" s="5">
        <v>304</v>
      </c>
      <c r="E35" s="5">
        <v>9.451933285812725</v>
      </c>
      <c r="F35" s="5">
        <v>13.880000633642142</v>
      </c>
      <c r="G35" s="5">
        <v>16.286415776127406</v>
      </c>
      <c r="H35" s="5">
        <v>17.933559698032308</v>
      </c>
      <c r="I35" s="5">
        <v>18.117806951075725</v>
      </c>
      <c r="J35" s="5">
        <v>17.285768589082</v>
      </c>
      <c r="K35" s="5">
        <v>15.235751935686396</v>
      </c>
    </row>
    <row r="36" spans="1:11">
      <c r="A36" s="3">
        <f t="shared" si="23"/>
        <v>0.91506849315068495</v>
      </c>
      <c r="B36" s="3">
        <f t="shared" si="24"/>
        <v>0.85000000000000031</v>
      </c>
      <c r="D36" s="5">
        <v>334</v>
      </c>
      <c r="E36" s="5">
        <v>7.3267404622923209</v>
      </c>
      <c r="F36" s="5">
        <v>11.503219329913483</v>
      </c>
      <c r="G36" s="5">
        <v>14.0057854485874</v>
      </c>
      <c r="H36" s="5">
        <v>15.996282606385424</v>
      </c>
      <c r="I36" s="5">
        <v>16.53302208667024</v>
      </c>
      <c r="J36" s="5">
        <v>16.109938536406094</v>
      </c>
      <c r="K36" s="5">
        <v>14.47982112977567</v>
      </c>
    </row>
    <row r="37" spans="1:11">
      <c r="A37" s="3">
        <f t="shared" si="23"/>
        <v>1</v>
      </c>
      <c r="B37" s="3">
        <f t="shared" si="24"/>
        <v>0.90500000000000036</v>
      </c>
      <c r="D37" s="5">
        <v>365</v>
      </c>
      <c r="E37" s="5">
        <v>5.6311974262307638</v>
      </c>
      <c r="F37" s="5">
        <v>9.4741388576678673</v>
      </c>
      <c r="G37" s="5">
        <v>11.984231226858588</v>
      </c>
      <c r="H37" s="5">
        <v>14.214042371640764</v>
      </c>
      <c r="I37" s="5">
        <v>15.040922212388026</v>
      </c>
      <c r="J37" s="5">
        <v>14.978887472781564</v>
      </c>
      <c r="K37" s="5">
        <v>13.738079257177858</v>
      </c>
    </row>
    <row r="38" spans="1:11">
      <c r="A38" s="3">
        <f t="shared" si="23"/>
        <v>1.0849315068493151</v>
      </c>
      <c r="B38" s="3">
        <f t="shared" si="24"/>
        <v>0.96000000000000041</v>
      </c>
      <c r="D38" s="5">
        <v>396</v>
      </c>
      <c r="E38" s="5">
        <v>4.3273570455554706</v>
      </c>
      <c r="F38" s="5">
        <v>7.8027059058265067</v>
      </c>
      <c r="G38" s="5">
        <v>10.254108125870914</v>
      </c>
      <c r="H38" s="5">
        <v>12.630232513896333</v>
      </c>
      <c r="I38" s="5">
        <v>13.683382345762194</v>
      </c>
      <c r="J38" s="5">
        <v>13.927180427072967</v>
      </c>
      <c r="K38" s="5">
        <v>13.034297233289948</v>
      </c>
    </row>
    <row r="39" spans="1:11">
      <c r="A39" s="3">
        <f t="shared" si="23"/>
        <v>1.1616438356164382</v>
      </c>
      <c r="B39" s="3">
        <f t="shared" si="24"/>
        <v>1.0150000000000003</v>
      </c>
      <c r="D39" s="5">
        <v>424</v>
      </c>
      <c r="E39" s="5">
        <v>3.4122272459995409</v>
      </c>
      <c r="F39" s="5">
        <v>6.5485151080315447</v>
      </c>
      <c r="G39" s="5">
        <v>8.907603811040504</v>
      </c>
      <c r="H39" s="5">
        <v>11.352236427379221</v>
      </c>
      <c r="I39" s="5">
        <v>12.563044541918691</v>
      </c>
      <c r="J39" s="5">
        <v>13.04099320021438</v>
      </c>
      <c r="K39" s="5">
        <v>12.429732909118751</v>
      </c>
    </row>
    <row r="40" spans="1:11">
      <c r="A40" s="3">
        <f t="shared" si="23"/>
        <v>1.2465753424657535</v>
      </c>
      <c r="B40" s="3">
        <f t="shared" si="24"/>
        <v>1.0700000000000003</v>
      </c>
      <c r="D40" s="5">
        <v>455</v>
      </c>
      <c r="E40" s="5">
        <v>2.6214280793201135</v>
      </c>
      <c r="F40" s="5">
        <v>5.3928667350126336</v>
      </c>
      <c r="G40" s="5">
        <v>7.62164610351428</v>
      </c>
      <c r="H40" s="5">
        <v>10.087195885307406</v>
      </c>
      <c r="I40" s="5">
        <v>11.429065896791977</v>
      </c>
      <c r="J40" s="5">
        <v>12.12529661174489</v>
      </c>
      <c r="K40" s="5">
        <v>11.792948397978716</v>
      </c>
    </row>
    <row r="41" spans="1:11">
      <c r="A41" s="3">
        <f t="shared" si="23"/>
        <v>1.3287671232876712</v>
      </c>
      <c r="B41" s="3">
        <f t="shared" si="24"/>
        <v>1.1250000000000002</v>
      </c>
      <c r="D41" s="5">
        <v>485</v>
      </c>
      <c r="E41" s="5">
        <v>2.031091753464513</v>
      </c>
      <c r="F41" s="5">
        <v>4.4692851023658218</v>
      </c>
      <c r="G41" s="5">
        <v>6.5541350775591463</v>
      </c>
      <c r="H41" s="5">
        <v>8.9974172175178015</v>
      </c>
      <c r="I41" s="5">
        <v>10.429273569251972</v>
      </c>
      <c r="J41" s="5">
        <v>11.300438976801164</v>
      </c>
      <c r="K41" s="5">
        <v>11.207799341091802</v>
      </c>
    </row>
    <row r="42" spans="1:11">
      <c r="A42" s="3">
        <f t="shared" si="23"/>
        <v>1.4136986301369863</v>
      </c>
      <c r="B42" s="3">
        <f t="shared" si="24"/>
        <v>1.1800000000000002</v>
      </c>
      <c r="D42" s="5">
        <v>516</v>
      </c>
      <c r="E42" s="5">
        <v>1.561705673531889</v>
      </c>
      <c r="F42" s="5">
        <v>3.6814721909501578</v>
      </c>
      <c r="G42" s="5">
        <v>5.6086771440165375</v>
      </c>
      <c r="H42" s="5">
        <v>7.995316918612664</v>
      </c>
      <c r="I42" s="5">
        <v>9.4882659984687248</v>
      </c>
      <c r="J42" s="5">
        <v>10.507193838756603</v>
      </c>
      <c r="K42" s="5">
        <v>10.633746703315213</v>
      </c>
    </row>
    <row r="43" spans="1:11">
      <c r="A43" s="3">
        <f t="shared" si="23"/>
        <v>1.4958904109589042</v>
      </c>
      <c r="B43" s="3">
        <f t="shared" si="24"/>
        <v>1.2350000000000001</v>
      </c>
      <c r="D43" s="5">
        <v>546</v>
      </c>
      <c r="E43" s="5">
        <v>1.2090276631192098</v>
      </c>
      <c r="F43" s="5">
        <v>3.0502936813413983</v>
      </c>
      <c r="G43" s="5">
        <v>4.8227258569787921</v>
      </c>
      <c r="H43" s="5">
        <v>7.1312815824209483</v>
      </c>
      <c r="I43" s="5">
        <v>8.6580654955975813</v>
      </c>
      <c r="J43" s="5">
        <v>9.7922966014853401</v>
      </c>
      <c r="K43" s="5">
        <v>10.10604946788148</v>
      </c>
    </row>
    <row r="44" spans="1:11">
      <c r="A44" s="3">
        <f t="shared" si="23"/>
        <v>1.5808219178082192</v>
      </c>
      <c r="B44" s="3">
        <f t="shared" si="24"/>
        <v>1.29</v>
      </c>
      <c r="D44" s="5">
        <v>577</v>
      </c>
      <c r="E44" s="5">
        <v>0.92853061511369739</v>
      </c>
      <c r="F44" s="5">
        <v>2.5118321427149533</v>
      </c>
      <c r="G44" s="5">
        <v>4.1264586762116231</v>
      </c>
      <c r="H44" s="5">
        <v>6.3367119415052446</v>
      </c>
      <c r="I44" s="5">
        <v>7.87664792312993</v>
      </c>
      <c r="J44" s="5">
        <v>9.1047651703544918</v>
      </c>
      <c r="K44" s="5">
        <v>9.5883422071816859</v>
      </c>
    </row>
    <row r="45" spans="1:11">
      <c r="A45" s="3">
        <f t="shared" si="23"/>
        <v>1.6657534246575343</v>
      </c>
      <c r="B45" s="3">
        <f t="shared" si="24"/>
        <v>1.345</v>
      </c>
      <c r="D45" s="5">
        <v>608</v>
      </c>
      <c r="E45" s="5">
        <v>0.7145256061557308</v>
      </c>
      <c r="F45" s="5">
        <v>2.069289527601256</v>
      </c>
      <c r="G45" s="5">
        <v>3.5314572201209713</v>
      </c>
      <c r="H45" s="5">
        <v>5.6310712787688546</v>
      </c>
      <c r="I45" s="5">
        <v>7.1660334073960659</v>
      </c>
      <c r="J45" s="5">
        <v>8.4656872268585879</v>
      </c>
      <c r="K45" s="5">
        <v>9.0972518496286661</v>
      </c>
    </row>
    <row r="46" spans="1:11">
      <c r="A46" s="3">
        <f t="shared" si="23"/>
        <v>1.747945205479452</v>
      </c>
      <c r="B46" s="3">
        <f t="shared" si="24"/>
        <v>1.4</v>
      </c>
      <c r="D46" s="5">
        <v>638</v>
      </c>
      <c r="E46" s="5">
        <v>0.55319528581272492</v>
      </c>
      <c r="F46" s="5">
        <v>1.7144324532577904</v>
      </c>
      <c r="G46" s="5">
        <v>3.03663081540464</v>
      </c>
      <c r="H46" s="5">
        <v>5.0226571408008578</v>
      </c>
      <c r="I46" s="5">
        <v>6.5391269956358631</v>
      </c>
      <c r="J46" s="5">
        <v>7.8897528216828725</v>
      </c>
      <c r="K46" s="5">
        <v>8.6458408288798712</v>
      </c>
    </row>
    <row r="47" spans="1:11">
      <c r="A47" s="3">
        <f t="shared" si="23"/>
        <v>1.832876712328767</v>
      </c>
      <c r="B47" s="3">
        <f t="shared" si="24"/>
        <v>1.4549999999999998</v>
      </c>
      <c r="D47" s="5">
        <v>669</v>
      </c>
      <c r="E47" s="5">
        <v>0.4243230043641375</v>
      </c>
      <c r="F47" s="5">
        <v>1.4112315292856599</v>
      </c>
      <c r="G47" s="5">
        <v>2.5978737560676826</v>
      </c>
      <c r="H47" s="5">
        <v>4.4628548512365063</v>
      </c>
      <c r="I47" s="5">
        <v>5.9488311409539856</v>
      </c>
      <c r="J47" s="5">
        <v>7.3357278159405865</v>
      </c>
      <c r="K47" s="5">
        <v>8.2028899023045714</v>
      </c>
    </row>
    <row r="48" spans="1:11">
      <c r="A48" s="3">
        <f t="shared" si="23"/>
        <v>1.9150684931506849</v>
      </c>
      <c r="B48" s="3">
        <f t="shared" si="24"/>
        <v>1.5099999999999998</v>
      </c>
      <c r="D48" s="5">
        <v>699</v>
      </c>
      <c r="E48" s="5">
        <v>0.32927643656687849</v>
      </c>
      <c r="F48" s="5">
        <v>1.1695946074573158</v>
      </c>
      <c r="G48" s="5">
        <v>2.2341483978255878</v>
      </c>
      <c r="H48" s="5">
        <v>3.9808949170813874</v>
      </c>
      <c r="I48" s="5">
        <v>5.4285949820075032</v>
      </c>
      <c r="J48" s="5">
        <v>6.8367931261006056</v>
      </c>
      <c r="K48" s="5">
        <v>7.7959314092335958</v>
      </c>
    </row>
    <row r="49" spans="1:11">
      <c r="A49" s="3">
        <f t="shared" si="23"/>
        <v>2</v>
      </c>
      <c r="B49" s="3">
        <f t="shared" si="24"/>
        <v>1.5649999999999997</v>
      </c>
      <c r="D49" s="5">
        <v>730</v>
      </c>
      <c r="E49" s="5">
        <v>0.25436187627287343</v>
      </c>
      <c r="F49" s="5">
        <v>0.96383516867008667</v>
      </c>
      <c r="G49" s="5">
        <v>1.9122389019217521</v>
      </c>
      <c r="H49" s="5">
        <v>3.5377367187811042</v>
      </c>
      <c r="I49" s="5">
        <v>4.9389473651328384</v>
      </c>
      <c r="J49" s="5">
        <v>6.3569700886608995</v>
      </c>
      <c r="K49" s="5">
        <v>7.396672627363909</v>
      </c>
    </row>
    <row r="50" spans="1:11">
      <c r="A50" s="3">
        <f t="shared" si="23"/>
        <v>2.0849315068493151</v>
      </c>
      <c r="B50" s="3">
        <f t="shared" si="24"/>
        <v>1.6199999999999997</v>
      </c>
      <c r="D50" s="5">
        <v>761</v>
      </c>
      <c r="E50" s="5">
        <v>0.19440088936528596</v>
      </c>
      <c r="F50" s="5">
        <v>0.7926203621468495</v>
      </c>
      <c r="G50" s="5">
        <v>1.6352550576525535</v>
      </c>
      <c r="H50" s="5">
        <v>3.1431533683485191</v>
      </c>
      <c r="I50" s="5">
        <v>4.4929239116453568</v>
      </c>
      <c r="J50" s="5">
        <v>5.9104616963479062</v>
      </c>
      <c r="K50" s="5">
        <v>7.0176496303498972</v>
      </c>
    </row>
    <row r="51" spans="1:11">
      <c r="A51" s="3">
        <f t="shared" si="23"/>
        <v>2.1616438356164385</v>
      </c>
      <c r="B51" s="3">
        <f t="shared" si="24"/>
        <v>1.6749999999999996</v>
      </c>
      <c r="D51" s="5">
        <v>789</v>
      </c>
      <c r="E51" s="5">
        <v>0.15284647837072199</v>
      </c>
      <c r="F51" s="5">
        <v>0.66446004241635415</v>
      </c>
      <c r="G51" s="5">
        <v>1.4199767339407396</v>
      </c>
      <c r="H51" s="5">
        <v>2.8247648066763649</v>
      </c>
      <c r="I51" s="5">
        <v>4.1248322806829503</v>
      </c>
      <c r="J51" s="5">
        <v>5.5342172427838614</v>
      </c>
      <c r="K51" s="5">
        <v>6.6920492597810277</v>
      </c>
    </row>
    <row r="52" spans="1:11">
      <c r="A52" s="3">
        <f t="shared" si="23"/>
        <v>2.2465753424657535</v>
      </c>
      <c r="B52" s="3">
        <f t="shared" si="24"/>
        <v>1.7299999999999995</v>
      </c>
      <c r="D52" s="5">
        <v>820</v>
      </c>
      <c r="E52" s="5">
        <v>0.1186641636934385</v>
      </c>
      <c r="F52" s="5">
        <v>0.54769560983079402</v>
      </c>
      <c r="G52" s="5">
        <v>1.2153774078554476</v>
      </c>
      <c r="H52" s="5">
        <v>2.5103922704233979</v>
      </c>
      <c r="I52" s="5">
        <v>3.7528598491692828</v>
      </c>
      <c r="J52" s="5">
        <v>5.1458653202664424</v>
      </c>
      <c r="K52" s="5">
        <v>6.3493513758517732</v>
      </c>
    </row>
    <row r="53" spans="1:11">
      <c r="A53" s="3">
        <f t="shared" si="23"/>
        <v>2.3287671232876712</v>
      </c>
      <c r="B53" s="3">
        <f t="shared" si="24"/>
        <v>1.7849999999999995</v>
      </c>
      <c r="D53" s="5">
        <v>850</v>
      </c>
      <c r="E53" s="5">
        <v>9.2619889594977425E-2</v>
      </c>
      <c r="F53" s="5">
        <v>0.45389018574381751</v>
      </c>
      <c r="G53" s="5">
        <v>1.0449955098384502</v>
      </c>
      <c r="H53" s="5">
        <v>2.2391734403185057</v>
      </c>
      <c r="I53" s="5">
        <v>3.4246073233289946</v>
      </c>
      <c r="J53" s="5">
        <v>4.7958322027409848</v>
      </c>
      <c r="K53" s="5">
        <v>6.0343181394992733</v>
      </c>
    </row>
    <row r="54" spans="1:11">
      <c r="A54" s="3">
        <f t="shared" si="23"/>
        <v>2.4136986301369863</v>
      </c>
      <c r="B54" s="3">
        <f t="shared" si="24"/>
        <v>1.8399999999999994</v>
      </c>
      <c r="D54" s="5">
        <v>881</v>
      </c>
      <c r="E54" s="5">
        <v>7.1149857744429987E-2</v>
      </c>
      <c r="F54" s="5">
        <v>0.3732363431590231</v>
      </c>
      <c r="G54" s="5">
        <v>0.89370430212081775</v>
      </c>
      <c r="H54" s="5">
        <v>1.9894041296991045</v>
      </c>
      <c r="I54" s="5">
        <v>3.1153716589847642</v>
      </c>
      <c r="J54" s="5">
        <v>4.4590184900084227</v>
      </c>
      <c r="K54" s="5">
        <v>5.7251369239721317</v>
      </c>
    </row>
    <row r="55" spans="1:11">
      <c r="A55" s="3">
        <f t="shared" si="23"/>
        <v>2.495890410958904</v>
      </c>
      <c r="B55" s="3">
        <f t="shared" si="24"/>
        <v>1.8949999999999994</v>
      </c>
      <c r="D55" s="5">
        <v>911</v>
      </c>
      <c r="E55" s="5">
        <v>5.4881538779572775E-2</v>
      </c>
      <c r="F55" s="5">
        <v>0.3087180367506317</v>
      </c>
      <c r="G55" s="5">
        <v>0.76795176617410621</v>
      </c>
      <c r="H55" s="5">
        <v>1.7741738004746956</v>
      </c>
      <c r="I55" s="5">
        <v>2.842687537095169</v>
      </c>
      <c r="J55" s="5">
        <v>4.1555935442921683</v>
      </c>
      <c r="K55" s="5">
        <v>5.4410107322563359</v>
      </c>
    </row>
    <row r="56" spans="1:11">
      <c r="A56" s="3">
        <f t="shared" si="23"/>
        <v>2.580821917808219</v>
      </c>
      <c r="B56" s="3">
        <f t="shared" si="24"/>
        <v>1.9499999999999993</v>
      </c>
      <c r="D56" s="5">
        <v>942</v>
      </c>
      <c r="E56" s="5">
        <v>4.3800322027409848E-2</v>
      </c>
      <c r="F56" s="5">
        <v>0.25498962024347294</v>
      </c>
      <c r="G56" s="5">
        <v>0.65748761059643213</v>
      </c>
      <c r="H56" s="5">
        <v>1.5768461519026111</v>
      </c>
      <c r="I56" s="5">
        <v>2.5864436991042035</v>
      </c>
      <c r="J56" s="5">
        <v>3.8640612008268893</v>
      </c>
      <c r="K56" s="5">
        <v>5.1624178970982317</v>
      </c>
    </row>
    <row r="57" spans="1:11">
      <c r="A57" s="3">
        <f t="shared" si="23"/>
        <v>2.6657534246575341</v>
      </c>
      <c r="B57" s="3">
        <f t="shared" si="24"/>
        <v>2.0049999999999994</v>
      </c>
      <c r="D57" s="5">
        <v>973</v>
      </c>
      <c r="E57" s="5">
        <v>3.4736840364443765E-2</v>
      </c>
      <c r="F57" s="5">
        <v>0.21035809356098309</v>
      </c>
      <c r="G57" s="5">
        <v>0.56268826337952693</v>
      </c>
      <c r="H57" s="5">
        <v>1.401233010489243</v>
      </c>
      <c r="I57" s="5">
        <v>2.3531179036827199</v>
      </c>
      <c r="J57" s="5">
        <v>3.592849900007657</v>
      </c>
      <c r="K57" s="5">
        <v>4.8980061140800863</v>
      </c>
    </row>
    <row r="58" spans="1:11">
      <c r="A58" s="3">
        <f t="shared" ref="A58:A89" si="25">D58/365</f>
        <v>2.7479452054794522</v>
      </c>
      <c r="B58" s="3">
        <f t="shared" si="24"/>
        <v>2.0599999999999996</v>
      </c>
      <c r="D58" s="5">
        <v>1003</v>
      </c>
      <c r="E58" s="5">
        <v>2.7980080545134369E-2</v>
      </c>
      <c r="F58" s="5">
        <v>0.17466186233825895</v>
      </c>
      <c r="G58" s="5">
        <v>0.48396946696271348</v>
      </c>
      <c r="H58" s="5">
        <v>1.2498866451267132</v>
      </c>
      <c r="I58" s="5">
        <v>2.1473512080238883</v>
      </c>
      <c r="J58" s="5">
        <v>3.3485168379144019</v>
      </c>
      <c r="K58" s="5">
        <v>4.6550202763953754</v>
      </c>
    </row>
    <row r="59" spans="1:11">
      <c r="A59" s="3">
        <f t="shared" si="25"/>
        <v>2.8328767123287673</v>
      </c>
      <c r="B59" s="3">
        <f t="shared" si="24"/>
        <v>2.1149999999999998</v>
      </c>
      <c r="D59" s="5">
        <v>1034</v>
      </c>
      <c r="E59" s="5">
        <v>2.0405115228542992E-2</v>
      </c>
      <c r="F59" s="5">
        <v>0.14271586586019447</v>
      </c>
      <c r="G59" s="5">
        <v>0.41291486226169516</v>
      </c>
      <c r="H59" s="5">
        <v>1.1097997508613431</v>
      </c>
      <c r="I59" s="5">
        <v>1.9529997882244854</v>
      </c>
      <c r="J59" s="5">
        <v>3.1130684376387721</v>
      </c>
      <c r="K59" s="5">
        <v>4.4163474119898938</v>
      </c>
    </row>
    <row r="60" spans="1:11">
      <c r="A60" s="3">
        <f t="shared" si="25"/>
        <v>2.9150684931506849</v>
      </c>
      <c r="B60" s="3">
        <f t="shared" si="24"/>
        <v>2.17</v>
      </c>
      <c r="D60" s="5">
        <v>1064</v>
      </c>
      <c r="E60" s="5">
        <v>1.7505986984151289E-2</v>
      </c>
      <c r="F60" s="5">
        <v>0.11931644100757983</v>
      </c>
      <c r="G60" s="5">
        <v>0.35572376540846795</v>
      </c>
      <c r="H60" s="5">
        <v>0.99039166066916784</v>
      </c>
      <c r="I60" s="5">
        <v>1.7825775380139346</v>
      </c>
      <c r="J60" s="5">
        <v>2.9016191608605775</v>
      </c>
      <c r="K60" s="5">
        <v>4.197414275629737</v>
      </c>
    </row>
    <row r="61" spans="1:11">
      <c r="A61" s="3">
        <f t="shared" si="25"/>
        <v>3</v>
      </c>
      <c r="B61" s="3">
        <f t="shared" si="24"/>
        <v>2.2250000000000001</v>
      </c>
      <c r="D61" s="5">
        <v>1095</v>
      </c>
      <c r="E61" s="5">
        <v>1.4170893805987293E-2</v>
      </c>
      <c r="F61" s="5">
        <v>9.8584045325779038E-2</v>
      </c>
      <c r="G61" s="5">
        <v>0.30437217624990431</v>
      </c>
      <c r="H61" s="5">
        <v>0.87992843488247463</v>
      </c>
      <c r="I61" s="5">
        <v>1.6216512270117143</v>
      </c>
      <c r="J61" s="5">
        <v>2.6978924509608762</v>
      </c>
      <c r="K61" s="5">
        <v>3.9823885031773987</v>
      </c>
    </row>
    <row r="62" spans="1:11">
      <c r="A62" s="3">
        <f t="shared" si="25"/>
        <v>3.0849315068493151</v>
      </c>
      <c r="B62" s="3">
        <f t="shared" si="24"/>
        <v>2.2800000000000002</v>
      </c>
      <c r="D62" s="5">
        <v>1126</v>
      </c>
      <c r="E62" s="5">
        <v>1.1827439705994947E-2</v>
      </c>
      <c r="F62" s="5">
        <v>8.1695997703085527E-2</v>
      </c>
      <c r="G62" s="5">
        <v>0.26057096072276242</v>
      </c>
      <c r="H62" s="5">
        <v>0.7819066967307251</v>
      </c>
      <c r="I62" s="5">
        <v>1.4753468608835465</v>
      </c>
      <c r="J62" s="5">
        <v>2.5085419307863104</v>
      </c>
      <c r="K62" s="5">
        <v>3.7784237874588475</v>
      </c>
    </row>
    <row r="63" spans="1:11">
      <c r="A63" s="3">
        <f t="shared" si="25"/>
        <v>3.1643835616438358</v>
      </c>
      <c r="B63" s="3">
        <f t="shared" si="24"/>
        <v>2.3350000000000004</v>
      </c>
      <c r="D63" s="5">
        <v>1155</v>
      </c>
      <c r="E63" s="5">
        <v>8.5869325472781571E-3</v>
      </c>
      <c r="F63" s="5">
        <v>6.754042018222188E-2</v>
      </c>
      <c r="G63" s="5">
        <v>0.22452991761733404</v>
      </c>
      <c r="H63" s="5">
        <v>0.69956450164612205</v>
      </c>
      <c r="I63" s="5">
        <v>1.3500421635403108</v>
      </c>
      <c r="J63" s="5">
        <v>2.343178657683179</v>
      </c>
      <c r="K63" s="5">
        <v>3.5969232678967926</v>
      </c>
    </row>
    <row r="64" spans="1:11">
      <c r="A64" s="3">
        <f t="shared" si="25"/>
        <v>3.2493150684931509</v>
      </c>
      <c r="B64" s="3">
        <f t="shared" si="24"/>
        <v>2.3900000000000006</v>
      </c>
      <c r="D64" s="5">
        <v>1186</v>
      </c>
      <c r="E64" s="5">
        <v>6.2542045785161935E-3</v>
      </c>
      <c r="F64" s="5">
        <v>5.5347791746420641E-2</v>
      </c>
      <c r="G64" s="5">
        <v>0.19166177107419036</v>
      </c>
      <c r="H64" s="5">
        <v>0.62115318030778655</v>
      </c>
      <c r="I64" s="5">
        <v>1.2278893799862187</v>
      </c>
      <c r="J64" s="5">
        <v>2.1784942891049695</v>
      </c>
      <c r="K64" s="5">
        <v>3.4125655727739073</v>
      </c>
    </row>
    <row r="65" spans="1:11">
      <c r="A65" s="3">
        <f t="shared" si="25"/>
        <v>3.3315068493150686</v>
      </c>
      <c r="B65" s="3">
        <f t="shared" si="24"/>
        <v>2.4450000000000007</v>
      </c>
      <c r="D65" s="5">
        <v>1216</v>
      </c>
      <c r="E65" s="5">
        <v>5.7743864941428684E-3</v>
      </c>
      <c r="F65" s="5">
        <v>4.660776617410612E-2</v>
      </c>
      <c r="G65" s="5">
        <v>0.16521317295766022</v>
      </c>
      <c r="H65" s="5">
        <v>0.55426254620626303</v>
      </c>
      <c r="I65" s="5">
        <v>1.1206714495061634</v>
      </c>
      <c r="J65" s="5">
        <v>2.0304726082229543</v>
      </c>
      <c r="K65" s="5">
        <v>3.2433603757752087</v>
      </c>
    </row>
    <row r="66" spans="1:11">
      <c r="A66" s="3">
        <f t="shared" si="25"/>
        <v>3.4164383561643836</v>
      </c>
      <c r="B66" s="3">
        <f t="shared" si="24"/>
        <v>2.5000000000000009</v>
      </c>
      <c r="D66" s="5">
        <v>1247</v>
      </c>
      <c r="E66" s="5">
        <v>5.5527232218053751E-3</v>
      </c>
      <c r="F66" s="5">
        <v>3.9287120741137743E-2</v>
      </c>
      <c r="G66" s="5">
        <v>0.1419071397289641</v>
      </c>
      <c r="H66" s="5">
        <v>0.49271990904218665</v>
      </c>
      <c r="I66" s="5">
        <v>1.0196996320343006</v>
      </c>
      <c r="J66" s="5">
        <v>1.8880711559604932</v>
      </c>
      <c r="K66" s="5">
        <v>3.0773163661281679</v>
      </c>
    </row>
    <row r="67" spans="1:11">
      <c r="A67" s="3">
        <f t="shared" si="25"/>
        <v>3.4986301369863013</v>
      </c>
      <c r="B67" s="3">
        <f t="shared" si="24"/>
        <v>2.555000000000001</v>
      </c>
      <c r="D67" s="5">
        <v>1277</v>
      </c>
      <c r="E67" s="5">
        <v>5.1105262996707758E-3</v>
      </c>
      <c r="F67" s="5">
        <v>3.3238567644131384E-2</v>
      </c>
      <c r="G67" s="5">
        <v>0.12238969650103362</v>
      </c>
      <c r="H67" s="5">
        <v>0.43958649582727205</v>
      </c>
      <c r="I67" s="5">
        <v>0.93058149421943204</v>
      </c>
      <c r="J67" s="5">
        <v>1.7597242982926269</v>
      </c>
      <c r="K67" s="5">
        <v>2.9246940799326238</v>
      </c>
    </row>
    <row r="68" spans="1:11">
      <c r="A68" s="3">
        <f t="shared" si="25"/>
        <v>3.5835616438356164</v>
      </c>
      <c r="B68" s="3">
        <f t="shared" si="24"/>
        <v>2.6100000000000012</v>
      </c>
      <c r="D68" s="5">
        <v>1308</v>
      </c>
      <c r="E68" s="5">
        <v>2.8929233596202437E-3</v>
      </c>
      <c r="F68" s="5">
        <v>2.6746938825511064E-2</v>
      </c>
      <c r="G68" s="5">
        <v>0.10397159558992421</v>
      </c>
      <c r="H68" s="5">
        <v>0.38994674649720545</v>
      </c>
      <c r="I68" s="5">
        <v>0.84609523420871302</v>
      </c>
      <c r="J68" s="5">
        <v>1.6358667319500804</v>
      </c>
      <c r="K68" s="5">
        <v>2.7746929264221731</v>
      </c>
    </row>
    <row r="69" spans="1:11">
      <c r="A69" s="3">
        <f t="shared" si="25"/>
        <v>3.6684931506849314</v>
      </c>
      <c r="B69" s="3">
        <f t="shared" si="24"/>
        <v>2.6650000000000014</v>
      </c>
      <c r="D69" s="5">
        <v>1339</v>
      </c>
      <c r="E69" s="5">
        <v>3.5604264604547895E-3</v>
      </c>
      <c r="F69" s="5">
        <v>2.3278287879947939E-2</v>
      </c>
      <c r="G69" s="5">
        <v>8.9813932470714342E-2</v>
      </c>
      <c r="H69" s="5">
        <v>0.34691134017303427</v>
      </c>
      <c r="I69" s="5">
        <v>0.77003546267513978</v>
      </c>
      <c r="J69" s="5">
        <v>1.521260136130465</v>
      </c>
      <c r="K69" s="5">
        <v>2.6327228714493534</v>
      </c>
    </row>
    <row r="70" spans="1:11">
      <c r="A70" s="3">
        <f t="shared" si="25"/>
        <v>3.7506849315068491</v>
      </c>
      <c r="B70" s="3">
        <f t="shared" si="24"/>
        <v>2.7200000000000015</v>
      </c>
      <c r="D70" s="5">
        <v>1369</v>
      </c>
      <c r="E70" s="5">
        <v>1.9743330525993415E-3</v>
      </c>
      <c r="F70" s="5">
        <v>1.8963697113544141E-2</v>
      </c>
      <c r="G70" s="5">
        <v>7.6858038894418501E-2</v>
      </c>
      <c r="H70" s="5">
        <v>0.30898899823903225</v>
      </c>
      <c r="I70" s="5">
        <v>0.7023219649337723</v>
      </c>
      <c r="J70" s="5">
        <v>1.4175650058954139</v>
      </c>
      <c r="K70" s="5">
        <v>2.5019793296072281</v>
      </c>
    </row>
    <row r="71" spans="1:11">
      <c r="A71" s="3">
        <f t="shared" si="25"/>
        <v>3.8356164383561642</v>
      </c>
      <c r="B71" s="3">
        <f t="shared" si="24"/>
        <v>2.7750000000000017</v>
      </c>
      <c r="D71" s="5">
        <v>1400</v>
      </c>
      <c r="E71" s="5">
        <v>1.4484719393614578E-3</v>
      </c>
      <c r="F71" s="5">
        <v>1.5824630426460456E-2</v>
      </c>
      <c r="G71" s="5">
        <v>6.5800161090268747E-2</v>
      </c>
      <c r="H71" s="5">
        <v>0.27441269060561979</v>
      </c>
      <c r="I71" s="5">
        <v>0.63880561947783487</v>
      </c>
      <c r="J71" s="5">
        <v>1.317979664344231</v>
      </c>
      <c r="K71" s="5">
        <v>2.373796600260317</v>
      </c>
    </row>
    <row r="72" spans="1:11">
      <c r="A72" s="3">
        <f t="shared" si="25"/>
        <v>3.9178082191780823</v>
      </c>
      <c r="B72" s="3">
        <f t="shared" si="24"/>
        <v>2.8300000000000018</v>
      </c>
      <c r="D72" s="5">
        <v>1430</v>
      </c>
      <c r="E72" s="5">
        <v>2.2869715948242862E-3</v>
      </c>
      <c r="F72" s="5">
        <v>1.4299590383584719E-2</v>
      </c>
      <c r="G72" s="5">
        <v>5.7439694204119131E-2</v>
      </c>
      <c r="H72" s="5">
        <v>0.24525658846948933</v>
      </c>
      <c r="I72" s="5">
        <v>0.58326030043641386</v>
      </c>
      <c r="J72" s="5">
        <v>1.2285863676594442</v>
      </c>
      <c r="K72" s="5">
        <v>2.256196468876809</v>
      </c>
    </row>
    <row r="73" spans="1:11">
      <c r="A73" s="3">
        <f t="shared" si="25"/>
        <v>4.0027397260273974</v>
      </c>
      <c r="B73" s="3">
        <f t="shared" si="24"/>
        <v>2.885000000000002</v>
      </c>
      <c r="D73" s="5">
        <v>1461</v>
      </c>
      <c r="E73" s="5">
        <v>2.3098415129010034E-4</v>
      </c>
      <c r="F73" s="5">
        <v>1.0917097618865324E-2</v>
      </c>
      <c r="G73" s="5">
        <v>4.8357572620779429E-2</v>
      </c>
      <c r="H73" s="5">
        <v>0.21713032723374934</v>
      </c>
      <c r="I73" s="5">
        <v>0.52996371809202969</v>
      </c>
      <c r="J73" s="5">
        <v>1.1418873948395989</v>
      </c>
      <c r="K73" s="5">
        <v>2.1403614041803847</v>
      </c>
    </row>
    <row r="74" spans="1:11">
      <c r="A74" s="3">
        <f t="shared" si="25"/>
        <v>4.087671232876712</v>
      </c>
      <c r="B74" s="3">
        <f t="shared" si="24"/>
        <v>2.9400000000000022</v>
      </c>
      <c r="D74" s="5">
        <v>1492</v>
      </c>
      <c r="E74" s="5">
        <v>2.256105658065998E-3</v>
      </c>
      <c r="F74" s="5">
        <v>1.0991325166526299E-2</v>
      </c>
      <c r="G74" s="5">
        <v>4.2943645509532197E-2</v>
      </c>
      <c r="H74" s="5">
        <v>0.1939881715029477</v>
      </c>
      <c r="I74" s="5">
        <v>0.48289782727203129</v>
      </c>
      <c r="J74" s="5">
        <v>1.0622913668172422</v>
      </c>
      <c r="K74" s="5">
        <v>2.0311048555240796</v>
      </c>
    </row>
    <row r="75" spans="1:11">
      <c r="A75" s="3">
        <f t="shared" si="25"/>
        <v>4.1643835616438354</v>
      </c>
      <c r="B75" s="3">
        <f t="shared" si="24"/>
        <v>2.9950000000000023</v>
      </c>
      <c r="D75" s="5">
        <v>1520</v>
      </c>
      <c r="E75" s="5">
        <v>3.5500375162698114E-4</v>
      </c>
      <c r="F75" s="5">
        <v>8.3688928872214987E-3</v>
      </c>
      <c r="G75" s="5">
        <v>3.6589721767092874E-2</v>
      </c>
      <c r="H75" s="5">
        <v>0.17363174488936528</v>
      </c>
      <c r="I75" s="5">
        <v>0.44273966924431518</v>
      </c>
      <c r="J75" s="5">
        <v>0.99426268968685416</v>
      </c>
      <c r="K75" s="5">
        <v>1.9366387290406555</v>
      </c>
    </row>
    <row r="76" spans="1:11">
      <c r="A76" s="3">
        <f t="shared" si="25"/>
        <v>4.2493150684931509</v>
      </c>
      <c r="B76" s="3">
        <f t="shared" si="24"/>
        <v>3.0500000000000025</v>
      </c>
      <c r="D76" s="5">
        <v>1551</v>
      </c>
      <c r="E76" s="5">
        <v>-3.6125870913406328E-6</v>
      </c>
      <c r="F76" s="5">
        <v>7.0300917234514971E-3</v>
      </c>
      <c r="G76" s="5">
        <v>3.144003031927111E-2</v>
      </c>
      <c r="H76" s="5">
        <v>0.1542174423091647</v>
      </c>
      <c r="I76" s="5">
        <v>0.40266843335119823</v>
      </c>
      <c r="J76" s="5">
        <v>0.92439309532195091</v>
      </c>
      <c r="K76" s="5">
        <v>1.837416849858357</v>
      </c>
    </row>
    <row r="77" spans="1:11">
      <c r="A77" s="3">
        <f t="shared" si="25"/>
        <v>4.3315068493150681</v>
      </c>
      <c r="B77" s="3">
        <f t="shared" si="24"/>
        <v>3.1050000000000026</v>
      </c>
      <c r="D77" s="5">
        <v>1581</v>
      </c>
      <c r="E77" s="5">
        <v>8.3061251052752476E-4</v>
      </c>
      <c r="F77" s="5">
        <v>6.9166360921828346E-3</v>
      </c>
      <c r="G77" s="5">
        <v>2.7863850241176023E-2</v>
      </c>
      <c r="H77" s="5">
        <v>0.13803796432126178</v>
      </c>
      <c r="I77" s="5">
        <v>0.36774607350126337</v>
      </c>
      <c r="J77" s="5">
        <v>0.86173627180154666</v>
      </c>
      <c r="K77" s="5">
        <v>1.7464119249674603</v>
      </c>
    </row>
    <row r="78" spans="1:11">
      <c r="A78" s="3">
        <f t="shared" si="25"/>
        <v>4.4164383561643836</v>
      </c>
      <c r="B78" s="3">
        <f t="shared" si="24"/>
        <v>3.1600000000000028</v>
      </c>
      <c r="D78" s="5">
        <v>1612</v>
      </c>
      <c r="E78" s="5">
        <v>5.2793568639460998E-4</v>
      </c>
      <c r="F78" s="5">
        <v>5.9137922058035376E-3</v>
      </c>
      <c r="G78" s="5">
        <v>2.4035113850394307E-2</v>
      </c>
      <c r="H78" s="5">
        <v>0.12258265247683944</v>
      </c>
      <c r="I78" s="5">
        <v>0.33441456121277086</v>
      </c>
      <c r="J78" s="5">
        <v>0.80113140142408701</v>
      </c>
      <c r="K78" s="5">
        <v>1.6569045387030092</v>
      </c>
    </row>
    <row r="79" spans="1:11">
      <c r="A79" s="3">
        <f t="shared" si="25"/>
        <v>4.4986301369863018</v>
      </c>
      <c r="B79" s="3">
        <f t="shared" si="24"/>
        <v>3.215000000000003</v>
      </c>
      <c r="D79" s="5">
        <v>1642</v>
      </c>
      <c r="E79" s="5">
        <v>-5.9407671694357246E-4</v>
      </c>
      <c r="F79" s="5">
        <v>4.5165607533879494E-3</v>
      </c>
      <c r="G79" s="5">
        <v>2.0393554398591227E-2</v>
      </c>
      <c r="H79" s="5">
        <v>0.1090327184748488</v>
      </c>
      <c r="I79" s="5">
        <v>0.30485758732103213</v>
      </c>
      <c r="J79" s="5">
        <v>0.74642418650945563</v>
      </c>
      <c r="K79" s="5">
        <v>1.57459126544675</v>
      </c>
    </row>
    <row r="80" spans="1:11">
      <c r="A80" s="3">
        <f t="shared" si="25"/>
        <v>4.5835616438356164</v>
      </c>
      <c r="B80" s="3">
        <f t="shared" si="24"/>
        <v>3.2700000000000031</v>
      </c>
      <c r="D80" s="5">
        <v>1673</v>
      </c>
      <c r="E80" s="5">
        <v>-2.0731582574075495E-4</v>
      </c>
      <c r="F80" s="5">
        <v>4.2743171273256263E-3</v>
      </c>
      <c r="G80" s="5">
        <v>1.8013720848327083E-2</v>
      </c>
      <c r="H80" s="5">
        <v>9.7147259168516964E-2</v>
      </c>
      <c r="I80" s="5">
        <v>0.27745664941428683</v>
      </c>
      <c r="J80" s="5">
        <v>0.69409931429446448</v>
      </c>
      <c r="K80" s="5">
        <v>1.4940045593752393</v>
      </c>
    </row>
    <row r="81" spans="1:11">
      <c r="A81" s="3">
        <f t="shared" si="25"/>
        <v>4.6684931506849319</v>
      </c>
      <c r="B81" s="3">
        <f t="shared" si="24"/>
        <v>3.3250000000000033</v>
      </c>
      <c r="D81" s="5">
        <v>1704</v>
      </c>
      <c r="E81" s="5">
        <v>-7.9848786463517353E-4</v>
      </c>
      <c r="F81" s="5">
        <v>3.391881632340556E-3</v>
      </c>
      <c r="G81" s="5">
        <v>1.5341978868386801E-2</v>
      </c>
      <c r="H81" s="5">
        <v>8.6163030548962571E-2</v>
      </c>
      <c r="I81" s="5">
        <v>0.25221071801546591</v>
      </c>
      <c r="J81" s="5">
        <v>0.64521273884082386</v>
      </c>
      <c r="K81" s="5">
        <v>1.417399615649644</v>
      </c>
    </row>
    <row r="82" spans="1:11">
      <c r="A82" s="3">
        <f t="shared" si="25"/>
        <v>4.7506849315068491</v>
      </c>
      <c r="B82" s="3">
        <f t="shared" si="24"/>
        <v>3.3800000000000034</v>
      </c>
      <c r="D82" s="5">
        <v>1734</v>
      </c>
      <c r="E82" s="5">
        <v>-1.3031502947706915E-3</v>
      </c>
      <c r="F82" s="5">
        <v>2.6409150907281223E-3</v>
      </c>
      <c r="G82" s="5">
        <v>1.3161528979404334E-2</v>
      </c>
      <c r="H82" s="5">
        <v>7.6713051680575767E-2</v>
      </c>
      <c r="I82" s="5">
        <v>0.22995445096087591</v>
      </c>
      <c r="J82" s="5">
        <v>0.60116638465661132</v>
      </c>
      <c r="K82" s="5">
        <v>1.3469973291478448</v>
      </c>
    </row>
    <row r="83" spans="1:11">
      <c r="A83" s="3">
        <f t="shared" si="25"/>
        <v>4.8356164383561646</v>
      </c>
      <c r="B83" s="3">
        <f t="shared" si="24"/>
        <v>3.4350000000000036</v>
      </c>
      <c r="D83" s="5">
        <v>1765</v>
      </c>
      <c r="E83" s="5">
        <v>-3.7658464129852233E-4</v>
      </c>
      <c r="F83" s="5">
        <v>3.0409594977413674E-3</v>
      </c>
      <c r="G83" s="5">
        <v>1.2089323788377612E-2</v>
      </c>
      <c r="H83" s="5">
        <v>6.8680605313528834E-2</v>
      </c>
      <c r="I83" s="5">
        <v>0.20950538657070669</v>
      </c>
      <c r="J83" s="5">
        <v>0.55916094969757291</v>
      </c>
      <c r="K83" s="5">
        <v>1.278145747951918</v>
      </c>
    </row>
    <row r="84" spans="1:11">
      <c r="A84" s="3">
        <f t="shared" si="25"/>
        <v>4.9178082191780819</v>
      </c>
      <c r="B84" s="3">
        <f t="shared" si="24"/>
        <v>3.4900000000000038</v>
      </c>
      <c r="D84" s="5">
        <v>1795</v>
      </c>
      <c r="E84" s="5">
        <v>-1.2672054207181686E-3</v>
      </c>
      <c r="F84" s="5">
        <v>2.1094168899777966E-3</v>
      </c>
      <c r="G84" s="5">
        <v>1.0153375851772452E-2</v>
      </c>
      <c r="H84" s="5">
        <v>6.1025633871832179E-2</v>
      </c>
      <c r="I84" s="5">
        <v>0.1909162785391624</v>
      </c>
      <c r="J84" s="5">
        <v>0.52092137125794347</v>
      </c>
      <c r="K84" s="5">
        <v>1.2146273274634409</v>
      </c>
    </row>
    <row r="85" spans="1:11">
      <c r="A85" s="3">
        <f t="shared" si="25"/>
        <v>5.0027397260273974</v>
      </c>
      <c r="B85" s="3">
        <f t="shared" si="24"/>
        <v>3.5450000000000039</v>
      </c>
      <c r="D85" s="5">
        <v>1826</v>
      </c>
      <c r="E85" s="5">
        <v>-8.2845387030089585E-4</v>
      </c>
      <c r="F85" s="5">
        <v>2.1685964321261774E-3</v>
      </c>
      <c r="G85" s="5">
        <v>9.1907242936987987E-3</v>
      </c>
      <c r="H85" s="5">
        <v>5.4542572084832708E-2</v>
      </c>
      <c r="I85" s="5">
        <v>0.17383516193247073</v>
      </c>
      <c r="J85" s="5">
        <v>0.4844290542837455</v>
      </c>
      <c r="K85" s="5">
        <v>1.1524793054130618</v>
      </c>
    </row>
    <row r="86" spans="1:11">
      <c r="A86" s="3">
        <f t="shared" si="25"/>
        <v>5.087671232876712</v>
      </c>
      <c r="B86" s="3">
        <f t="shared" si="24"/>
        <v>3.6000000000000041</v>
      </c>
      <c r="D86" s="5">
        <v>1857</v>
      </c>
      <c r="E86" s="5">
        <v>-8.6021514432279309E-4</v>
      </c>
      <c r="F86" s="5">
        <v>1.9192966847867701E-3</v>
      </c>
      <c r="G86" s="5">
        <v>8.105558992420183E-3</v>
      </c>
      <c r="H86" s="5">
        <v>4.8584756297373861E-2</v>
      </c>
      <c r="I86" s="5">
        <v>0.15814511829109562</v>
      </c>
      <c r="J86" s="5">
        <v>0.45038551963861884</v>
      </c>
      <c r="K86" s="5">
        <v>1.093441374473624</v>
      </c>
    </row>
    <row r="87" spans="1:11">
      <c r="A87" s="3">
        <f t="shared" si="25"/>
        <v>5.1643835616438354</v>
      </c>
      <c r="B87" s="3">
        <f t="shared" si="24"/>
        <v>3.6550000000000042</v>
      </c>
      <c r="D87" s="5">
        <v>1885</v>
      </c>
      <c r="E87" s="5">
        <v>-1.1403330525993417E-3</v>
      </c>
      <c r="F87" s="5">
        <v>1.5034513436949699E-3</v>
      </c>
      <c r="G87" s="5">
        <v>7.0961326085292103E-3</v>
      </c>
      <c r="H87" s="5">
        <v>4.3632823673531891E-2</v>
      </c>
      <c r="I87" s="5">
        <v>0.14507964122195852</v>
      </c>
      <c r="J87" s="5">
        <v>0.42160438327846261</v>
      </c>
      <c r="K87" s="5">
        <v>1.0426572991348291</v>
      </c>
    </row>
    <row r="88" spans="1:11">
      <c r="A88" s="3">
        <f t="shared" si="25"/>
        <v>5.2493150684931509</v>
      </c>
      <c r="B88" s="3">
        <f t="shared" si="24"/>
        <v>3.7100000000000044</v>
      </c>
      <c r="D88" s="5">
        <v>1916</v>
      </c>
      <c r="E88" s="5">
        <v>-1.7661035142791518E-3</v>
      </c>
      <c r="F88" s="5">
        <v>8.3813628359237426E-4</v>
      </c>
      <c r="G88" s="5">
        <v>5.8967178623382591E-3</v>
      </c>
      <c r="H88" s="5">
        <v>3.8614707296531665E-2</v>
      </c>
      <c r="I88" s="5">
        <v>0.13177481280147005</v>
      </c>
      <c r="J88" s="5">
        <v>0.3918150608682337</v>
      </c>
      <c r="K88" s="5">
        <v>0.98914738167062255</v>
      </c>
    </row>
    <row r="89" spans="1:11">
      <c r="A89" s="3">
        <f t="shared" si="25"/>
        <v>5.3315068493150681</v>
      </c>
      <c r="B89" s="3">
        <f t="shared" si="24"/>
        <v>3.7650000000000046</v>
      </c>
      <c r="D89" s="5">
        <v>1946</v>
      </c>
      <c r="E89" s="5">
        <v>-8.7190414210244239E-5</v>
      </c>
      <c r="F89" s="5">
        <v>2.0210431054283745E-3</v>
      </c>
      <c r="G89" s="5">
        <v>6.3378141030548969E-3</v>
      </c>
      <c r="H89" s="5">
        <v>3.5417447821759436E-2</v>
      </c>
      <c r="I89" s="5">
        <v>0.12092993660516042</v>
      </c>
      <c r="J89" s="5">
        <v>0.36562385958196159</v>
      </c>
      <c r="K89" s="5">
        <v>0.94038776265217072</v>
      </c>
    </row>
    <row r="90" spans="1:11">
      <c r="A90" s="3">
        <f t="shared" ref="A90:A106" si="26">D90/365</f>
        <v>5.4164383561643836</v>
      </c>
      <c r="B90" s="3">
        <f t="shared" si="24"/>
        <v>3.8200000000000047</v>
      </c>
      <c r="D90" s="5">
        <v>1977</v>
      </c>
      <c r="E90" s="5">
        <v>1.8229645509532197E-4</v>
      </c>
      <c r="F90" s="5">
        <v>2.0710395834928415E-3</v>
      </c>
      <c r="G90" s="5">
        <v>5.9209333129163159E-3</v>
      </c>
      <c r="H90" s="5">
        <v>3.1793525916851695E-2</v>
      </c>
      <c r="I90" s="5">
        <v>0.11017462445448281</v>
      </c>
      <c r="J90" s="5">
        <v>0.34001914784472864</v>
      </c>
      <c r="K90" s="5">
        <v>0.89226812051144633</v>
      </c>
    </row>
    <row r="91" spans="1:11">
      <c r="A91" s="3">
        <f t="shared" si="26"/>
        <v>5.4986301369863018</v>
      </c>
      <c r="B91" s="3">
        <f t="shared" si="24"/>
        <v>3.8750000000000049</v>
      </c>
      <c r="D91" s="5">
        <v>2007</v>
      </c>
      <c r="E91" s="5">
        <v>-1.254493836612817E-3</v>
      </c>
      <c r="F91" s="5">
        <v>8.0666166449735858E-4</v>
      </c>
      <c r="G91" s="5">
        <v>4.4409150907281222E-3</v>
      </c>
      <c r="H91" s="5">
        <v>2.7839332057269735E-2</v>
      </c>
      <c r="I91" s="5">
        <v>0.1000317680116377</v>
      </c>
      <c r="J91" s="5">
        <v>0.31646549207564512</v>
      </c>
      <c r="K91" s="5">
        <v>0.84772950310083461</v>
      </c>
    </row>
    <row r="92" spans="1:11">
      <c r="A92" s="3">
        <f t="shared" si="26"/>
        <v>5.5835616438356164</v>
      </c>
      <c r="B92" s="3">
        <f t="shared" ref="B92:B106" si="27">B91+$B$24</f>
        <v>3.930000000000005</v>
      </c>
      <c r="D92" s="5">
        <v>2038</v>
      </c>
      <c r="E92" s="5">
        <v>-1.3850481586402267E-3</v>
      </c>
      <c r="F92" s="5">
        <v>5.2560707449659291E-4</v>
      </c>
      <c r="G92" s="5">
        <v>3.8546267513972898E-3</v>
      </c>
      <c r="H92" s="5">
        <v>2.4799770461679811E-2</v>
      </c>
      <c r="I92" s="5">
        <v>9.0964649873669701E-2</v>
      </c>
      <c r="J92" s="5">
        <v>0.29416082306102137</v>
      </c>
      <c r="K92" s="5">
        <v>0.80425503468340864</v>
      </c>
    </row>
    <row r="93" spans="1:11">
      <c r="A93" s="3">
        <f t="shared" si="26"/>
        <v>5.6684931506849319</v>
      </c>
      <c r="B93" s="3">
        <f t="shared" si="27"/>
        <v>3.9850000000000052</v>
      </c>
      <c r="D93" s="5">
        <v>2069</v>
      </c>
      <c r="E93" s="5">
        <v>-1.3554276089120282E-3</v>
      </c>
      <c r="F93" s="5">
        <v>4.0913972896409155E-4</v>
      </c>
      <c r="G93" s="5">
        <v>3.4538845417655616E-3</v>
      </c>
      <c r="H93" s="5">
        <v>2.2172694740065849E-2</v>
      </c>
      <c r="I93" s="5">
        <v>8.2783113084756152E-2</v>
      </c>
      <c r="J93" s="5">
        <v>0.27347293147538476</v>
      </c>
      <c r="K93" s="5">
        <v>0.76304582283132993</v>
      </c>
    </row>
    <row r="94" spans="1:11">
      <c r="A94" s="3">
        <f t="shared" si="26"/>
        <v>5.7506849315068491</v>
      </c>
      <c r="B94" s="3">
        <f t="shared" si="27"/>
        <v>4.0400000000000054</v>
      </c>
      <c r="D94" s="5">
        <v>2099</v>
      </c>
      <c r="E94" s="5">
        <v>-1.904304264604548E-3</v>
      </c>
      <c r="F94" s="5">
        <v>-1.6273455325013398E-4</v>
      </c>
      <c r="G94" s="5">
        <v>2.7452717249827731E-3</v>
      </c>
      <c r="H94" s="5">
        <v>1.9650039047546131E-2</v>
      </c>
      <c r="I94" s="5">
        <v>7.5371389480131695E-2</v>
      </c>
      <c r="J94" s="5">
        <v>0.25469451864328918</v>
      </c>
      <c r="K94" s="5">
        <v>0.72507901584870993</v>
      </c>
    </row>
    <row r="95" spans="1:11">
      <c r="A95" s="3">
        <f t="shared" si="26"/>
        <v>5.8356164383561646</v>
      </c>
      <c r="B95" s="3">
        <f t="shared" si="27"/>
        <v>4.0950000000000051</v>
      </c>
      <c r="D95" s="5">
        <v>2130</v>
      </c>
      <c r="E95" s="5">
        <v>-1.2442486792741752E-3</v>
      </c>
      <c r="F95" s="5">
        <v>2.7887344001225023E-4</v>
      </c>
      <c r="G95" s="5">
        <v>2.9071821453181229E-3</v>
      </c>
      <c r="H95" s="5">
        <v>1.7947712120052067E-2</v>
      </c>
      <c r="I95" s="5">
        <v>6.8892440548196932E-2</v>
      </c>
      <c r="J95" s="5">
        <v>0.23700329010029861</v>
      </c>
      <c r="K95" s="5">
        <v>0.68807561702779274</v>
      </c>
    </row>
    <row r="96" spans="1:11">
      <c r="A96" s="3">
        <f t="shared" si="26"/>
        <v>5.9178082191780819</v>
      </c>
      <c r="B96" s="3">
        <f t="shared" si="27"/>
        <v>4.1500000000000048</v>
      </c>
      <c r="D96" s="5">
        <v>2160</v>
      </c>
      <c r="E96" s="5">
        <v>-1.278418957200827E-3</v>
      </c>
      <c r="F96" s="5">
        <v>7.8580659980093413E-5</v>
      </c>
      <c r="G96" s="5">
        <v>2.5254326621238807E-3</v>
      </c>
      <c r="H96" s="5">
        <v>1.6067916392312996E-2</v>
      </c>
      <c r="I96" s="5">
        <v>6.2835016767475688E-2</v>
      </c>
      <c r="J96" s="5">
        <v>0.22078623459153207</v>
      </c>
      <c r="K96" s="5">
        <v>0.65386723237118149</v>
      </c>
    </row>
    <row r="97" spans="1:11">
      <c r="A97" s="3">
        <f t="shared" si="26"/>
        <v>6.0027397260273974</v>
      </c>
      <c r="B97" s="3">
        <f t="shared" si="27"/>
        <v>4.2050000000000045</v>
      </c>
      <c r="D97" s="5">
        <v>2191</v>
      </c>
      <c r="E97" s="5">
        <v>-1.5017778118061405E-3</v>
      </c>
      <c r="F97" s="5">
        <v>-2.044947553786081E-4</v>
      </c>
      <c r="G97" s="5">
        <v>2.1075563892504405E-3</v>
      </c>
      <c r="H97" s="5">
        <v>1.4286139193017381E-2</v>
      </c>
      <c r="I97" s="5">
        <v>5.7109809509225944E-2</v>
      </c>
      <c r="J97" s="5">
        <v>0.20518418252813722</v>
      </c>
      <c r="K97" s="5">
        <v>0.62030597167138812</v>
      </c>
    </row>
    <row r="98" spans="1:11">
      <c r="A98" s="3">
        <f t="shared" si="26"/>
        <v>6.087671232876712</v>
      </c>
      <c r="B98" s="3">
        <f t="shared" si="27"/>
        <v>4.2600000000000042</v>
      </c>
      <c r="D98" s="5">
        <v>2222</v>
      </c>
      <c r="E98" s="5">
        <v>-1.4675276012556466E-3</v>
      </c>
      <c r="F98" s="5">
        <v>-3.1934277620396603E-4</v>
      </c>
      <c r="G98" s="5">
        <v>1.874195850241176E-3</v>
      </c>
      <c r="H98" s="5">
        <v>1.2827242936987981E-2</v>
      </c>
      <c r="I98" s="5">
        <v>5.2005681953908589E-2</v>
      </c>
      <c r="J98" s="5">
        <v>0.19075214884005823</v>
      </c>
      <c r="K98" s="5">
        <v>0.5885142961488401</v>
      </c>
    </row>
    <row r="99" spans="1:11">
      <c r="A99" s="3">
        <f t="shared" si="26"/>
        <v>6.1643835616438354</v>
      </c>
      <c r="B99" s="3">
        <f t="shared" si="27"/>
        <v>4.3150000000000039</v>
      </c>
      <c r="D99" s="5">
        <v>2250</v>
      </c>
      <c r="E99" s="5">
        <v>-1.3390143174335811E-3</v>
      </c>
      <c r="F99" s="5">
        <v>-3.3092611591761735E-4</v>
      </c>
      <c r="G99" s="5">
        <v>1.7254237807212312E-3</v>
      </c>
      <c r="H99" s="5">
        <v>1.1684041956971137E-2</v>
      </c>
      <c r="I99" s="5">
        <v>4.7818406860117915E-2</v>
      </c>
      <c r="J99" s="5">
        <v>0.17860918566725367</v>
      </c>
      <c r="K99" s="5">
        <v>0.56120845877038517</v>
      </c>
    </row>
    <row r="100" spans="1:11">
      <c r="A100" s="3">
        <f t="shared" si="26"/>
        <v>6.2493150684931509</v>
      </c>
      <c r="B100" s="3">
        <f t="shared" si="27"/>
        <v>4.3700000000000037</v>
      </c>
      <c r="D100" s="5">
        <v>2281</v>
      </c>
      <c r="E100" s="5">
        <v>-6.6811775514891668E-4</v>
      </c>
      <c r="F100" s="5">
        <v>1.6297664803613813E-4</v>
      </c>
      <c r="G100" s="5">
        <v>2.0104639767246002E-3</v>
      </c>
      <c r="H100" s="5">
        <v>1.0890915550111019E-2</v>
      </c>
      <c r="I100" s="5">
        <v>4.3868156802695048E-2</v>
      </c>
      <c r="J100" s="5">
        <v>0.16628222632263992</v>
      </c>
      <c r="K100" s="5">
        <v>0.5326016903759283</v>
      </c>
    </row>
    <row r="101" spans="1:11">
      <c r="A101" s="3">
        <f t="shared" si="26"/>
        <v>6.3315068493150681</v>
      </c>
      <c r="B101" s="3">
        <f t="shared" si="27"/>
        <v>4.4250000000000034</v>
      </c>
      <c r="D101" s="5">
        <v>2311</v>
      </c>
      <c r="E101" s="5">
        <v>-1.0459932623841973E-3</v>
      </c>
      <c r="F101" s="5">
        <v>-2.6281800780950923E-4</v>
      </c>
      <c r="G101" s="5">
        <v>1.5654469029936452E-3</v>
      </c>
      <c r="H101" s="5">
        <v>9.6799367582880349E-3</v>
      </c>
      <c r="I101" s="5">
        <v>3.9960514968226016E-2</v>
      </c>
      <c r="J101" s="5">
        <v>0.15485529408161705</v>
      </c>
      <c r="K101" s="5">
        <v>0.50609240318505477</v>
      </c>
    </row>
    <row r="102" spans="1:11">
      <c r="A102" s="3">
        <f t="shared" si="26"/>
        <v>6.4164383561643836</v>
      </c>
      <c r="B102" s="3">
        <f t="shared" si="27"/>
        <v>4.4800000000000031</v>
      </c>
      <c r="D102" s="5">
        <v>2342</v>
      </c>
      <c r="E102" s="5">
        <v>-2.3121590996095249E-3</v>
      </c>
      <c r="F102" s="5">
        <v>-1.3981460837608148E-3</v>
      </c>
      <c r="G102" s="5">
        <v>4.8203644437638777E-4</v>
      </c>
      <c r="H102" s="5">
        <v>8.0315726207794199E-3</v>
      </c>
      <c r="I102" s="5">
        <v>3.5846805910726594E-2</v>
      </c>
      <c r="J102" s="5">
        <v>0.14353320312380372</v>
      </c>
      <c r="K102" s="5">
        <v>0.47985301401117836</v>
      </c>
    </row>
    <row r="103" spans="1:11">
      <c r="A103" s="3">
        <f t="shared" si="26"/>
        <v>6.4986301369863018</v>
      </c>
      <c r="B103" s="3">
        <f t="shared" si="27"/>
        <v>4.5350000000000028</v>
      </c>
      <c r="D103" s="5">
        <v>2372</v>
      </c>
      <c r="E103" s="5">
        <v>4.3366020978485571E-4</v>
      </c>
      <c r="F103" s="5">
        <v>7.4526789679197616E-4</v>
      </c>
      <c r="G103" s="5">
        <v>2.2003687313375698E-3</v>
      </c>
      <c r="H103" s="5">
        <v>8.6683273868769627E-3</v>
      </c>
      <c r="I103" s="5">
        <v>3.3886701783936914E-2</v>
      </c>
      <c r="J103" s="5">
        <v>0.1345822156037057</v>
      </c>
      <c r="K103" s="5">
        <v>0.45657208697649493</v>
      </c>
    </row>
    <row r="104" spans="1:11">
      <c r="A104" s="3">
        <f t="shared" si="26"/>
        <v>6.5835616438356164</v>
      </c>
      <c r="B104" s="3">
        <f t="shared" si="27"/>
        <v>4.5900000000000025</v>
      </c>
      <c r="D104" s="5">
        <v>2403</v>
      </c>
      <c r="E104" s="5">
        <v>-1.2968025419186893E-3</v>
      </c>
      <c r="F104" s="5">
        <v>-7.5521629278003217E-4</v>
      </c>
      <c r="G104" s="5">
        <v>8.545008804838834E-4</v>
      </c>
      <c r="H104" s="5">
        <v>6.9623442309164696E-3</v>
      </c>
      <c r="I104" s="5">
        <v>3.0193767245999547E-2</v>
      </c>
      <c r="J104" s="5">
        <v>0.1245885883163617</v>
      </c>
      <c r="K104" s="5">
        <v>0.4328022231069597</v>
      </c>
    </row>
    <row r="105" spans="1:11">
      <c r="A105" s="3">
        <f t="shared" si="26"/>
        <v>6.6684931506849319</v>
      </c>
      <c r="B105" s="3">
        <f t="shared" si="27"/>
        <v>4.6450000000000022</v>
      </c>
      <c r="D105" s="5">
        <v>2434</v>
      </c>
      <c r="E105" s="5">
        <v>-1.2914020365975042E-3</v>
      </c>
      <c r="F105" s="5">
        <v>-8.1919225174182687E-4</v>
      </c>
      <c r="G105" s="5">
        <v>6.7665492688155583E-4</v>
      </c>
      <c r="H105" s="5">
        <v>6.2706036291248759E-3</v>
      </c>
      <c r="I105" s="5">
        <v>2.7514563509685324E-2</v>
      </c>
      <c r="J105" s="5">
        <v>0.11580979220580355</v>
      </c>
      <c r="K105" s="5">
        <v>0.41059438603476001</v>
      </c>
    </row>
    <row r="106" spans="1:11">
      <c r="A106" s="3">
        <f t="shared" si="26"/>
        <v>6.7506849315068491</v>
      </c>
      <c r="B106" s="3">
        <f t="shared" si="27"/>
        <v>4.700000000000002</v>
      </c>
      <c r="D106" s="5">
        <v>2464</v>
      </c>
      <c r="E106" s="5">
        <v>-6.3103636781257182E-4</v>
      </c>
      <c r="F106" s="5">
        <v>-3.6183431590230459E-4</v>
      </c>
      <c r="G106" s="5">
        <v>1.0511475384733175E-3</v>
      </c>
      <c r="H106" s="5">
        <v>6.0867337876119752E-3</v>
      </c>
      <c r="I106" s="5">
        <v>2.549654681877345E-2</v>
      </c>
      <c r="J106" s="5">
        <v>0.10816994824286043</v>
      </c>
      <c r="K106" s="5">
        <v>0.39037001270959348</v>
      </c>
    </row>
    <row r="107" spans="1:11">
      <c r="D107">
        <v>2495</v>
      </c>
    </row>
    <row r="108" spans="1:11">
      <c r="D108">
        <v>2525</v>
      </c>
    </row>
    <row r="109" spans="1:11">
      <c r="D109">
        <v>2556</v>
      </c>
    </row>
    <row r="110" spans="1:11">
      <c r="D110">
        <v>2587</v>
      </c>
    </row>
    <row r="111" spans="1:11">
      <c r="D111">
        <v>2616</v>
      </c>
    </row>
    <row r="112" spans="1:11">
      <c r="D112">
        <v>2647</v>
      </c>
    </row>
    <row r="113" spans="4:4">
      <c r="D113">
        <v>2677</v>
      </c>
    </row>
    <row r="114" spans="4:4">
      <c r="D114">
        <v>2708</v>
      </c>
    </row>
    <row r="115" spans="4:4">
      <c r="D115">
        <v>2738</v>
      </c>
    </row>
    <row r="116" spans="4:4">
      <c r="D116">
        <v>2769</v>
      </c>
    </row>
    <row r="117" spans="4:4">
      <c r="D117">
        <v>2800</v>
      </c>
    </row>
    <row r="118" spans="4:4">
      <c r="D118">
        <v>2830</v>
      </c>
    </row>
    <row r="119" spans="4:4">
      <c r="D119">
        <v>2861</v>
      </c>
    </row>
    <row r="120" spans="4:4">
      <c r="D120">
        <v>2891</v>
      </c>
    </row>
    <row r="121" spans="4:4">
      <c r="D121">
        <v>2922</v>
      </c>
    </row>
    <row r="122" spans="4:4">
      <c r="D122">
        <v>2953</v>
      </c>
    </row>
    <row r="123" spans="4:4">
      <c r="D123">
        <v>2981</v>
      </c>
    </row>
    <row r="124" spans="4:4">
      <c r="D124">
        <v>3012</v>
      </c>
    </row>
    <row r="125" spans="4:4">
      <c r="D125">
        <v>3042</v>
      </c>
    </row>
    <row r="126" spans="4:4">
      <c r="D126">
        <v>3073</v>
      </c>
    </row>
    <row r="127" spans="4:4">
      <c r="D127">
        <v>3103</v>
      </c>
    </row>
    <row r="128" spans="4:4">
      <c r="D128">
        <v>3134</v>
      </c>
    </row>
    <row r="129" spans="4:4">
      <c r="D129">
        <v>3165</v>
      </c>
    </row>
    <row r="130" spans="4:4">
      <c r="D130">
        <v>3195</v>
      </c>
    </row>
    <row r="131" spans="4:4">
      <c r="D131">
        <v>3226</v>
      </c>
    </row>
    <row r="132" spans="4:4">
      <c r="D132">
        <v>3256</v>
      </c>
    </row>
    <row r="133" spans="4:4">
      <c r="D133">
        <v>3287</v>
      </c>
    </row>
    <row r="134" spans="4:4">
      <c r="D134">
        <v>3318</v>
      </c>
    </row>
    <row r="135" spans="4:4">
      <c r="D135">
        <v>3346</v>
      </c>
    </row>
    <row r="136" spans="4:4">
      <c r="D136">
        <v>3377</v>
      </c>
    </row>
    <row r="137" spans="4:4">
      <c r="D137">
        <v>3407</v>
      </c>
    </row>
    <row r="138" spans="4:4">
      <c r="D138">
        <v>3438</v>
      </c>
    </row>
    <row r="139" spans="4:4">
      <c r="D139">
        <v>3468</v>
      </c>
    </row>
    <row r="140" spans="4:4">
      <c r="D140">
        <v>3499</v>
      </c>
    </row>
    <row r="141" spans="4:4">
      <c r="D141">
        <v>3530</v>
      </c>
    </row>
    <row r="142" spans="4:4">
      <c r="D142">
        <v>3560</v>
      </c>
    </row>
    <row r="143" spans="4:4">
      <c r="D143">
        <v>3591</v>
      </c>
    </row>
    <row r="144" spans="4:4">
      <c r="D144">
        <v>3621</v>
      </c>
    </row>
    <row r="145" spans="4:4">
      <c r="D145">
        <v>3652</v>
      </c>
    </row>
    <row r="146" spans="4:4">
      <c r="D146">
        <v>3683</v>
      </c>
    </row>
    <row r="147" spans="4:4">
      <c r="D147">
        <v>3711</v>
      </c>
    </row>
    <row r="148" spans="4:4">
      <c r="D148">
        <v>3742</v>
      </c>
    </row>
    <row r="149" spans="4:4">
      <c r="D149">
        <v>3772</v>
      </c>
    </row>
    <row r="150" spans="4:4">
      <c r="D150">
        <v>3803</v>
      </c>
    </row>
    <row r="151" spans="4:4">
      <c r="D151">
        <v>3833</v>
      </c>
    </row>
    <row r="152" spans="4:4">
      <c r="D152">
        <v>3864</v>
      </c>
    </row>
    <row r="153" spans="4:4">
      <c r="D153">
        <v>3895</v>
      </c>
    </row>
    <row r="154" spans="4:4">
      <c r="D154">
        <v>3925</v>
      </c>
    </row>
    <row r="155" spans="4:4">
      <c r="D155">
        <v>3956</v>
      </c>
    </row>
    <row r="156" spans="4:4">
      <c r="D156">
        <v>3986</v>
      </c>
    </row>
    <row r="157" spans="4:4">
      <c r="D157">
        <v>4017</v>
      </c>
    </row>
    <row r="158" spans="4:4">
      <c r="D158">
        <v>4048</v>
      </c>
    </row>
    <row r="159" spans="4:4">
      <c r="D159">
        <v>4077</v>
      </c>
    </row>
    <row r="160" spans="4:4">
      <c r="D160">
        <v>4108</v>
      </c>
    </row>
    <row r="161" spans="4:4">
      <c r="D161">
        <v>4138</v>
      </c>
    </row>
    <row r="162" spans="4:4">
      <c r="D162">
        <v>4169</v>
      </c>
    </row>
    <row r="163" spans="4:4">
      <c r="D163">
        <v>4199</v>
      </c>
    </row>
    <row r="164" spans="4:4">
      <c r="D164">
        <v>4230</v>
      </c>
    </row>
    <row r="165" spans="4:4">
      <c r="D165">
        <v>4261</v>
      </c>
    </row>
    <row r="166" spans="4:4">
      <c r="D166">
        <v>4291</v>
      </c>
    </row>
    <row r="167" spans="4:4">
      <c r="D167">
        <v>4322</v>
      </c>
    </row>
    <row r="168" spans="4:4">
      <c r="D168">
        <v>4352</v>
      </c>
    </row>
    <row r="169" spans="4:4">
      <c r="D169">
        <v>4383</v>
      </c>
    </row>
    <row r="170" spans="4:4">
      <c r="D170">
        <v>4414</v>
      </c>
    </row>
    <row r="171" spans="4:4">
      <c r="D171">
        <v>4442</v>
      </c>
    </row>
    <row r="172" spans="4:4">
      <c r="D172">
        <v>4473</v>
      </c>
    </row>
    <row r="173" spans="4:4">
      <c r="D173">
        <v>4503</v>
      </c>
    </row>
    <row r="174" spans="4:4">
      <c r="D174">
        <v>4534</v>
      </c>
    </row>
    <row r="175" spans="4:4">
      <c r="D175">
        <v>4564</v>
      </c>
    </row>
    <row r="176" spans="4:4">
      <c r="D176">
        <v>4595</v>
      </c>
    </row>
    <row r="177" spans="4:4">
      <c r="D177">
        <v>4626</v>
      </c>
    </row>
    <row r="178" spans="4:4">
      <c r="D178">
        <v>4656</v>
      </c>
    </row>
    <row r="179" spans="4:4">
      <c r="D179">
        <v>4687</v>
      </c>
    </row>
    <row r="180" spans="4:4">
      <c r="D180">
        <v>4717</v>
      </c>
    </row>
    <row r="181" spans="4:4">
      <c r="D181">
        <v>4748</v>
      </c>
    </row>
    <row r="182" spans="4:4">
      <c r="D182">
        <v>4779</v>
      </c>
    </row>
    <row r="183" spans="4:4">
      <c r="D183">
        <v>4807</v>
      </c>
    </row>
    <row r="184" spans="4:4">
      <c r="D184">
        <v>4838</v>
      </c>
    </row>
    <row r="185" spans="4:4">
      <c r="D185">
        <v>4868</v>
      </c>
    </row>
    <row r="186" spans="4:4">
      <c r="D186">
        <v>4899</v>
      </c>
    </row>
    <row r="187" spans="4:4">
      <c r="D187">
        <v>4929</v>
      </c>
    </row>
    <row r="188" spans="4:4">
      <c r="D188">
        <v>4960</v>
      </c>
    </row>
    <row r="189" spans="4:4">
      <c r="D189">
        <v>4991</v>
      </c>
    </row>
    <row r="190" spans="4:4">
      <c r="D190">
        <v>5021</v>
      </c>
    </row>
    <row r="191" spans="4:4">
      <c r="D191">
        <v>5052</v>
      </c>
    </row>
    <row r="192" spans="4:4">
      <c r="D192">
        <v>5082</v>
      </c>
    </row>
    <row r="193" spans="4:4">
      <c r="D193">
        <v>5113</v>
      </c>
    </row>
    <row r="194" spans="4:4">
      <c r="D194">
        <v>5144</v>
      </c>
    </row>
    <row r="195" spans="4:4">
      <c r="D195">
        <v>5172</v>
      </c>
    </row>
    <row r="196" spans="4:4">
      <c r="D196">
        <v>5203</v>
      </c>
    </row>
    <row r="197" spans="4:4">
      <c r="D197">
        <v>5233</v>
      </c>
    </row>
    <row r="198" spans="4:4">
      <c r="D198">
        <v>5264</v>
      </c>
    </row>
    <row r="199" spans="4:4">
      <c r="D199">
        <v>5294</v>
      </c>
    </row>
    <row r="200" spans="4:4">
      <c r="D200">
        <v>5325</v>
      </c>
    </row>
    <row r="201" spans="4:4">
      <c r="D201">
        <v>5356</v>
      </c>
    </row>
    <row r="202" spans="4:4">
      <c r="D202">
        <v>5386</v>
      </c>
    </row>
    <row r="203" spans="4:4">
      <c r="D203">
        <v>5417</v>
      </c>
    </row>
    <row r="204" spans="4:4">
      <c r="D204">
        <v>5447</v>
      </c>
    </row>
    <row r="205" spans="4:4">
      <c r="D205">
        <v>5478</v>
      </c>
    </row>
    <row r="206" spans="4:4">
      <c r="D206">
        <v>5509</v>
      </c>
    </row>
    <row r="207" spans="4:4">
      <c r="D207">
        <v>5538</v>
      </c>
    </row>
    <row r="208" spans="4:4">
      <c r="D208">
        <v>5569</v>
      </c>
    </row>
    <row r="209" spans="4:4">
      <c r="D209">
        <v>5599</v>
      </c>
    </row>
    <row r="210" spans="4:4">
      <c r="D210">
        <v>5630</v>
      </c>
    </row>
    <row r="211" spans="4:4">
      <c r="D211">
        <v>5660</v>
      </c>
    </row>
    <row r="212" spans="4:4">
      <c r="D212">
        <v>5691</v>
      </c>
    </row>
    <row r="213" spans="4:4">
      <c r="D213">
        <v>5722</v>
      </c>
    </row>
    <row r="214" spans="4:4">
      <c r="D214">
        <v>5752</v>
      </c>
    </row>
    <row r="215" spans="4:4">
      <c r="D215">
        <v>5783</v>
      </c>
    </row>
    <row r="216" spans="4:4">
      <c r="D216">
        <v>5813</v>
      </c>
    </row>
    <row r="217" spans="4:4">
      <c r="D217">
        <v>5844</v>
      </c>
    </row>
    <row r="218" spans="4:4">
      <c r="D218">
        <v>5875</v>
      </c>
    </row>
    <row r="219" spans="4:4">
      <c r="D219">
        <v>5903</v>
      </c>
    </row>
    <row r="220" spans="4:4">
      <c r="D220">
        <v>5934</v>
      </c>
    </row>
    <row r="221" spans="4:4">
      <c r="D221">
        <v>5964</v>
      </c>
    </row>
    <row r="222" spans="4:4">
      <c r="D222">
        <v>5995</v>
      </c>
    </row>
    <row r="223" spans="4:4">
      <c r="D223">
        <v>6025</v>
      </c>
    </row>
    <row r="224" spans="4:4">
      <c r="D224">
        <v>6056</v>
      </c>
    </row>
    <row r="225" spans="4:4">
      <c r="D225">
        <v>6087</v>
      </c>
    </row>
    <row r="226" spans="4:4">
      <c r="D226">
        <v>6117</v>
      </c>
    </row>
    <row r="227" spans="4:4">
      <c r="D227">
        <v>6148</v>
      </c>
    </row>
    <row r="228" spans="4:4">
      <c r="D228">
        <v>6178</v>
      </c>
    </row>
    <row r="229" spans="4:4">
      <c r="D229">
        <v>6209</v>
      </c>
    </row>
    <row r="230" spans="4:4">
      <c r="D230">
        <v>6240</v>
      </c>
    </row>
    <row r="231" spans="4:4">
      <c r="D231">
        <v>6268</v>
      </c>
    </row>
    <row r="232" spans="4:4">
      <c r="D232">
        <v>6299</v>
      </c>
    </row>
    <row r="233" spans="4:4">
      <c r="D233">
        <v>6329</v>
      </c>
    </row>
    <row r="234" spans="4:4">
      <c r="D234">
        <v>6360</v>
      </c>
    </row>
    <row r="235" spans="4:4">
      <c r="D235">
        <v>6390</v>
      </c>
    </row>
    <row r="236" spans="4:4">
      <c r="D236">
        <v>6421</v>
      </c>
    </row>
    <row r="237" spans="4:4">
      <c r="D237">
        <v>6452</v>
      </c>
    </row>
    <row r="238" spans="4:4">
      <c r="D238">
        <v>6482</v>
      </c>
    </row>
    <row r="239" spans="4:4">
      <c r="D239">
        <v>6513</v>
      </c>
    </row>
    <row r="240" spans="4:4">
      <c r="D240">
        <v>6543</v>
      </c>
    </row>
    <row r="241" spans="4:4">
      <c r="D241">
        <v>6574</v>
      </c>
    </row>
    <row r="242" spans="4:4">
      <c r="D242">
        <v>6605</v>
      </c>
    </row>
    <row r="243" spans="4:4">
      <c r="D243">
        <v>6633</v>
      </c>
    </row>
    <row r="244" spans="4:4">
      <c r="D244">
        <v>6664</v>
      </c>
    </row>
    <row r="245" spans="4:4">
      <c r="D245">
        <v>6694</v>
      </c>
    </row>
    <row r="246" spans="4:4">
      <c r="D246">
        <v>6725</v>
      </c>
    </row>
    <row r="247" spans="4:4">
      <c r="D247">
        <v>6755</v>
      </c>
    </row>
    <row r="248" spans="4:4">
      <c r="D248">
        <v>6786</v>
      </c>
    </row>
    <row r="249" spans="4:4">
      <c r="D249">
        <v>6817</v>
      </c>
    </row>
    <row r="250" spans="4:4">
      <c r="D250">
        <v>6847</v>
      </c>
    </row>
    <row r="251" spans="4:4">
      <c r="D251">
        <v>6878</v>
      </c>
    </row>
    <row r="252" spans="4:4">
      <c r="D252">
        <v>6908</v>
      </c>
    </row>
    <row r="253" spans="4:4">
      <c r="D253">
        <v>6939</v>
      </c>
    </row>
    <row r="254" spans="4:4">
      <c r="D254">
        <v>6970</v>
      </c>
    </row>
    <row r="255" spans="4:4">
      <c r="D255">
        <v>6999</v>
      </c>
    </row>
    <row r="256" spans="4:4">
      <c r="D256">
        <v>7030</v>
      </c>
    </row>
    <row r="257" spans="4:4">
      <c r="D257">
        <v>7060</v>
      </c>
    </row>
    <row r="258" spans="4:4">
      <c r="D258">
        <v>7091</v>
      </c>
    </row>
    <row r="259" spans="4:4">
      <c r="D259">
        <v>7121</v>
      </c>
    </row>
    <row r="260" spans="4:4">
      <c r="D260">
        <v>7152</v>
      </c>
    </row>
    <row r="261" spans="4:4">
      <c r="D261">
        <v>7183</v>
      </c>
    </row>
    <row r="262" spans="4:4">
      <c r="D262">
        <v>7213</v>
      </c>
    </row>
    <row r="263" spans="4:4">
      <c r="D263">
        <v>7244</v>
      </c>
    </row>
    <row r="264" spans="4:4">
      <c r="D264">
        <v>7274</v>
      </c>
    </row>
    <row r="265" spans="4:4">
      <c r="D265">
        <v>7305</v>
      </c>
    </row>
    <row r="266" spans="4:4">
      <c r="D266">
        <v>7336</v>
      </c>
    </row>
    <row r="267" spans="4:4">
      <c r="D267">
        <v>7364</v>
      </c>
    </row>
    <row r="268" spans="4:4">
      <c r="D268">
        <v>7395</v>
      </c>
    </row>
    <row r="269" spans="4:4">
      <c r="D269">
        <v>7425</v>
      </c>
    </row>
    <row r="270" spans="4:4">
      <c r="D270">
        <v>7456</v>
      </c>
    </row>
    <row r="271" spans="4:4">
      <c r="D271">
        <v>7486</v>
      </c>
    </row>
    <row r="272" spans="4:4">
      <c r="D272">
        <v>7517</v>
      </c>
    </row>
    <row r="273" spans="4:4">
      <c r="D273">
        <v>7548</v>
      </c>
    </row>
    <row r="274" spans="4:4">
      <c r="D274">
        <v>7578</v>
      </c>
    </row>
    <row r="275" spans="4:4">
      <c r="D275">
        <v>7609</v>
      </c>
    </row>
    <row r="276" spans="4:4">
      <c r="D276">
        <v>7639</v>
      </c>
    </row>
    <row r="277" spans="4:4">
      <c r="D277">
        <v>7670</v>
      </c>
    </row>
    <row r="278" spans="4:4">
      <c r="D278">
        <v>7701</v>
      </c>
    </row>
    <row r="279" spans="4:4">
      <c r="D279">
        <v>7729</v>
      </c>
    </row>
    <row r="280" spans="4:4">
      <c r="D280">
        <v>7760</v>
      </c>
    </row>
    <row r="281" spans="4:4">
      <c r="D281">
        <v>7790</v>
      </c>
    </row>
    <row r="282" spans="4:4">
      <c r="D282">
        <v>7821</v>
      </c>
    </row>
    <row r="283" spans="4:4">
      <c r="D283">
        <v>7851</v>
      </c>
    </row>
    <row r="284" spans="4:4">
      <c r="D284">
        <v>7882</v>
      </c>
    </row>
    <row r="285" spans="4:4">
      <c r="D285">
        <v>7913</v>
      </c>
    </row>
    <row r="286" spans="4:4">
      <c r="D286">
        <v>7943</v>
      </c>
    </row>
    <row r="287" spans="4:4">
      <c r="D287">
        <v>7974</v>
      </c>
    </row>
    <row r="288" spans="4:4">
      <c r="D288">
        <v>8004</v>
      </c>
    </row>
    <row r="289" spans="4:4">
      <c r="D289">
        <v>8035</v>
      </c>
    </row>
    <row r="290" spans="4:4">
      <c r="D290">
        <v>8066</v>
      </c>
    </row>
    <row r="291" spans="4:4">
      <c r="D291">
        <v>8094</v>
      </c>
    </row>
    <row r="292" spans="4:4">
      <c r="D292">
        <v>8125</v>
      </c>
    </row>
    <row r="293" spans="4:4">
      <c r="D293">
        <v>8155</v>
      </c>
    </row>
    <row r="294" spans="4:4">
      <c r="D294">
        <v>8186</v>
      </c>
    </row>
    <row r="295" spans="4:4">
      <c r="D295">
        <v>8216</v>
      </c>
    </row>
    <row r="296" spans="4:4">
      <c r="D296">
        <v>8247</v>
      </c>
    </row>
    <row r="297" spans="4:4">
      <c r="D297">
        <v>8278</v>
      </c>
    </row>
    <row r="298" spans="4:4">
      <c r="D298">
        <v>8308</v>
      </c>
    </row>
    <row r="299" spans="4:4">
      <c r="D299">
        <v>8339</v>
      </c>
    </row>
    <row r="300" spans="4:4">
      <c r="D300">
        <v>8369</v>
      </c>
    </row>
    <row r="301" spans="4:4">
      <c r="D301">
        <v>8400</v>
      </c>
    </row>
    <row r="302" spans="4:4">
      <c r="D302">
        <v>8431</v>
      </c>
    </row>
    <row r="303" spans="4:4">
      <c r="D303">
        <v>8460</v>
      </c>
    </row>
    <row r="304" spans="4:4">
      <c r="D304">
        <v>8491</v>
      </c>
    </row>
    <row r="305" spans="4:4">
      <c r="D305">
        <v>8521</v>
      </c>
    </row>
    <row r="306" spans="4:4">
      <c r="D306">
        <v>8552</v>
      </c>
    </row>
    <row r="307" spans="4:4">
      <c r="D307">
        <v>8582</v>
      </c>
    </row>
    <row r="308" spans="4:4">
      <c r="D308">
        <v>8613</v>
      </c>
    </row>
    <row r="309" spans="4:4">
      <c r="D309">
        <v>8644</v>
      </c>
    </row>
    <row r="310" spans="4:4">
      <c r="D310">
        <v>8674</v>
      </c>
    </row>
    <row r="311" spans="4:4">
      <c r="D311">
        <v>8705</v>
      </c>
    </row>
    <row r="312" spans="4:4">
      <c r="D312">
        <v>8735</v>
      </c>
    </row>
    <row r="313" spans="4:4">
      <c r="D313">
        <v>8766</v>
      </c>
    </row>
    <row r="314" spans="4:4">
      <c r="D314">
        <v>8797</v>
      </c>
    </row>
    <row r="315" spans="4:4">
      <c r="D315">
        <v>8825</v>
      </c>
    </row>
    <row r="316" spans="4:4">
      <c r="D316">
        <v>8856</v>
      </c>
    </row>
    <row r="317" spans="4:4">
      <c r="D317">
        <v>8886</v>
      </c>
    </row>
    <row r="318" spans="4:4">
      <c r="D318">
        <v>8917</v>
      </c>
    </row>
    <row r="319" spans="4:4">
      <c r="D319">
        <v>8947</v>
      </c>
    </row>
    <row r="320" spans="4:4">
      <c r="D320">
        <v>8978</v>
      </c>
    </row>
    <row r="321" spans="4:4">
      <c r="D321">
        <v>9009</v>
      </c>
    </row>
    <row r="322" spans="4:4">
      <c r="D322">
        <v>9039</v>
      </c>
    </row>
    <row r="323" spans="4:4">
      <c r="D323">
        <v>9070</v>
      </c>
    </row>
    <row r="324" spans="4:4">
      <c r="D324">
        <v>9100</v>
      </c>
    </row>
    <row r="325" spans="4:4">
      <c r="D325">
        <v>9131</v>
      </c>
    </row>
    <row r="326" spans="4:4">
      <c r="D326">
        <v>9162</v>
      </c>
    </row>
    <row r="327" spans="4:4">
      <c r="D327">
        <v>9190</v>
      </c>
    </row>
    <row r="328" spans="4:4">
      <c r="D328">
        <v>9221</v>
      </c>
    </row>
    <row r="329" spans="4:4">
      <c r="D329">
        <v>9251</v>
      </c>
    </row>
    <row r="330" spans="4:4">
      <c r="D330">
        <v>9282</v>
      </c>
    </row>
    <row r="331" spans="4:4">
      <c r="D331">
        <v>9312</v>
      </c>
    </row>
    <row r="332" spans="4:4">
      <c r="D332">
        <v>9343</v>
      </c>
    </row>
    <row r="333" spans="4:4">
      <c r="D333">
        <v>9374</v>
      </c>
    </row>
    <row r="334" spans="4:4">
      <c r="D334">
        <v>9404</v>
      </c>
    </row>
    <row r="335" spans="4:4">
      <c r="D335">
        <v>9435</v>
      </c>
    </row>
    <row r="336" spans="4:4">
      <c r="D336">
        <v>9465</v>
      </c>
    </row>
    <row r="337" spans="4:4">
      <c r="D337">
        <v>9496</v>
      </c>
    </row>
    <row r="338" spans="4:4">
      <c r="D338">
        <v>9527</v>
      </c>
    </row>
    <row r="339" spans="4:4">
      <c r="D339">
        <v>9555</v>
      </c>
    </row>
    <row r="340" spans="4:4">
      <c r="D340">
        <v>9586</v>
      </c>
    </row>
    <row r="341" spans="4:4">
      <c r="D341">
        <v>9616</v>
      </c>
    </row>
    <row r="342" spans="4:4">
      <c r="D342">
        <v>9647</v>
      </c>
    </row>
    <row r="343" spans="4:4">
      <c r="D343">
        <v>9677</v>
      </c>
    </row>
    <row r="344" spans="4:4">
      <c r="D344">
        <v>9708</v>
      </c>
    </row>
    <row r="345" spans="4:4">
      <c r="D345">
        <v>9739</v>
      </c>
    </row>
    <row r="346" spans="4:4">
      <c r="D346">
        <v>9769</v>
      </c>
    </row>
    <row r="347" spans="4:4">
      <c r="D347">
        <v>9800</v>
      </c>
    </row>
    <row r="348" spans="4:4">
      <c r="D348">
        <v>9830</v>
      </c>
    </row>
    <row r="349" spans="4:4">
      <c r="D349">
        <v>9861</v>
      </c>
    </row>
    <row r="350" spans="4:4">
      <c r="D350">
        <v>9892</v>
      </c>
    </row>
    <row r="351" spans="4:4">
      <c r="D351">
        <v>9921</v>
      </c>
    </row>
    <row r="352" spans="4:4">
      <c r="D352">
        <v>9952</v>
      </c>
    </row>
    <row r="353" spans="4:4">
      <c r="D353">
        <v>9982</v>
      </c>
    </row>
    <row r="354" spans="4:4">
      <c r="D354">
        <v>10013</v>
      </c>
    </row>
    <row r="355" spans="4:4">
      <c r="D355">
        <v>10043</v>
      </c>
    </row>
    <row r="356" spans="4:4">
      <c r="D356">
        <v>10074</v>
      </c>
    </row>
    <row r="357" spans="4:4">
      <c r="D357">
        <v>10105</v>
      </c>
    </row>
    <row r="358" spans="4:4">
      <c r="D358">
        <v>10135</v>
      </c>
    </row>
    <row r="359" spans="4:4">
      <c r="D359">
        <v>10166</v>
      </c>
    </row>
    <row r="360" spans="4:4">
      <c r="D360">
        <v>10196</v>
      </c>
    </row>
    <row r="361" spans="4:4">
      <c r="D361">
        <v>10227</v>
      </c>
    </row>
    <row r="362" spans="4:4">
      <c r="D362">
        <v>10258</v>
      </c>
    </row>
    <row r="363" spans="4:4">
      <c r="D363">
        <v>10286</v>
      </c>
    </row>
    <row r="364" spans="4:4">
      <c r="D364">
        <v>10317</v>
      </c>
    </row>
    <row r="365" spans="4:4">
      <c r="D365">
        <v>10347</v>
      </c>
    </row>
    <row r="366" spans="4:4">
      <c r="D366">
        <v>10378</v>
      </c>
    </row>
    <row r="367" spans="4:4">
      <c r="D367">
        <v>10408</v>
      </c>
    </row>
    <row r="368" spans="4:4">
      <c r="D368">
        <v>10439</v>
      </c>
    </row>
    <row r="369" spans="4:4">
      <c r="D369">
        <v>10470</v>
      </c>
    </row>
    <row r="370" spans="4:4">
      <c r="D370">
        <v>10500</v>
      </c>
    </row>
    <row r="371" spans="4:4">
      <c r="D371">
        <v>10531</v>
      </c>
    </row>
    <row r="372" spans="4:4">
      <c r="D372">
        <v>10561</v>
      </c>
    </row>
    <row r="373" spans="4:4">
      <c r="D373">
        <v>10592</v>
      </c>
    </row>
    <row r="374" spans="4:4">
      <c r="D374">
        <v>10623</v>
      </c>
    </row>
    <row r="375" spans="4:4">
      <c r="D375">
        <v>10651</v>
      </c>
    </row>
    <row r="376" spans="4:4">
      <c r="D376">
        <v>10682</v>
      </c>
    </row>
    <row r="377" spans="4:4">
      <c r="D377">
        <v>10712</v>
      </c>
    </row>
    <row r="378" spans="4:4">
      <c r="D378">
        <v>10743</v>
      </c>
    </row>
    <row r="379" spans="4:4">
      <c r="D379">
        <v>10773</v>
      </c>
    </row>
    <row r="380" spans="4:4">
      <c r="D380">
        <v>10804</v>
      </c>
    </row>
    <row r="381" spans="4:4">
      <c r="D381">
        <v>10835</v>
      </c>
    </row>
    <row r="382" spans="4:4">
      <c r="D382">
        <v>10865</v>
      </c>
    </row>
    <row r="383" spans="4:4">
      <c r="D383">
        <v>10896</v>
      </c>
    </row>
    <row r="384" spans="4:4">
      <c r="D384">
        <v>10926</v>
      </c>
    </row>
    <row r="385" spans="4:4">
      <c r="D385">
        <v>10957</v>
      </c>
    </row>
    <row r="386" spans="4:4">
      <c r="D386">
        <v>10988</v>
      </c>
    </row>
    <row r="387" spans="4:4">
      <c r="D387">
        <v>11016</v>
      </c>
    </row>
    <row r="388" spans="4:4">
      <c r="D388">
        <v>11047</v>
      </c>
    </row>
    <row r="389" spans="4:4">
      <c r="D389">
        <v>11077</v>
      </c>
    </row>
    <row r="390" spans="4:4">
      <c r="D390">
        <v>11108</v>
      </c>
    </row>
    <row r="391" spans="4:4">
      <c r="D391">
        <v>11138</v>
      </c>
    </row>
    <row r="392" spans="4:4">
      <c r="D392">
        <v>11169</v>
      </c>
    </row>
    <row r="393" spans="4:4">
      <c r="D393">
        <v>11200</v>
      </c>
    </row>
    <row r="394" spans="4:4">
      <c r="D394">
        <v>11230</v>
      </c>
    </row>
    <row r="395" spans="4:4">
      <c r="D395">
        <v>11261</v>
      </c>
    </row>
    <row r="396" spans="4:4">
      <c r="D396">
        <v>11291</v>
      </c>
    </row>
    <row r="397" spans="4:4">
      <c r="D397">
        <v>11322</v>
      </c>
    </row>
    <row r="398" spans="4:4">
      <c r="D398">
        <v>11353</v>
      </c>
    </row>
    <row r="399" spans="4:4">
      <c r="D399">
        <v>11382</v>
      </c>
    </row>
    <row r="400" spans="4:4">
      <c r="D400">
        <v>11413</v>
      </c>
    </row>
    <row r="401" spans="4:4">
      <c r="D401">
        <v>11443</v>
      </c>
    </row>
    <row r="402" spans="4:4">
      <c r="D402">
        <v>11474</v>
      </c>
    </row>
    <row r="403" spans="4:4">
      <c r="D403">
        <v>11504</v>
      </c>
    </row>
    <row r="404" spans="4:4">
      <c r="D404">
        <v>11535</v>
      </c>
    </row>
    <row r="405" spans="4:4">
      <c r="D405">
        <v>11566</v>
      </c>
    </row>
    <row r="406" spans="4:4">
      <c r="D406">
        <v>11596</v>
      </c>
    </row>
    <row r="407" spans="4:4">
      <c r="D407">
        <v>11627</v>
      </c>
    </row>
    <row r="408" spans="4:4">
      <c r="D408">
        <v>11657</v>
      </c>
    </row>
    <row r="409" spans="4:4">
      <c r="D409">
        <v>11688</v>
      </c>
    </row>
    <row r="410" spans="4:4">
      <c r="D410">
        <v>11719</v>
      </c>
    </row>
    <row r="411" spans="4:4">
      <c r="D411">
        <v>11747</v>
      </c>
    </row>
    <row r="412" spans="4:4">
      <c r="D412">
        <v>11778</v>
      </c>
    </row>
    <row r="413" spans="4:4">
      <c r="D413">
        <v>11808</v>
      </c>
    </row>
    <row r="414" spans="4:4">
      <c r="D414">
        <v>11839</v>
      </c>
    </row>
    <row r="415" spans="4:4">
      <c r="D415">
        <v>11869</v>
      </c>
    </row>
    <row r="416" spans="4:4">
      <c r="D416">
        <v>11900</v>
      </c>
    </row>
    <row r="417" spans="4:4">
      <c r="D417">
        <v>11931</v>
      </c>
    </row>
    <row r="418" spans="4:4">
      <c r="D418">
        <v>11961</v>
      </c>
    </row>
    <row r="419" spans="4:4">
      <c r="D419">
        <v>11992</v>
      </c>
    </row>
    <row r="420" spans="4:4">
      <c r="D420">
        <v>12022</v>
      </c>
    </row>
    <row r="421" spans="4:4">
      <c r="D421">
        <v>12053</v>
      </c>
    </row>
    <row r="422" spans="4:4">
      <c r="D422">
        <v>12084</v>
      </c>
    </row>
    <row r="423" spans="4:4">
      <c r="D423">
        <v>12112</v>
      </c>
    </row>
    <row r="424" spans="4:4">
      <c r="D424">
        <v>12143</v>
      </c>
    </row>
    <row r="425" spans="4:4">
      <c r="D425">
        <v>12173</v>
      </c>
    </row>
    <row r="426" spans="4:4">
      <c r="D426">
        <v>12204</v>
      </c>
    </row>
    <row r="427" spans="4:4">
      <c r="D427">
        <v>12234</v>
      </c>
    </row>
    <row r="428" spans="4:4">
      <c r="D428">
        <v>12265</v>
      </c>
    </row>
    <row r="429" spans="4:4">
      <c r="D429">
        <v>12296</v>
      </c>
    </row>
    <row r="430" spans="4:4">
      <c r="D430">
        <v>12326</v>
      </c>
    </row>
    <row r="431" spans="4:4">
      <c r="D431">
        <v>12357</v>
      </c>
    </row>
    <row r="432" spans="4:4">
      <c r="D432">
        <v>12387</v>
      </c>
    </row>
    <row r="433" spans="4:4">
      <c r="D433">
        <v>12418</v>
      </c>
    </row>
    <row r="434" spans="4:4">
      <c r="D434">
        <v>12449</v>
      </c>
    </row>
    <row r="435" spans="4:4">
      <c r="D435">
        <v>12477</v>
      </c>
    </row>
    <row r="436" spans="4:4">
      <c r="D436">
        <v>12508</v>
      </c>
    </row>
    <row r="437" spans="4:4">
      <c r="D437">
        <v>12538</v>
      </c>
    </row>
    <row r="438" spans="4:4">
      <c r="D438">
        <v>12569</v>
      </c>
    </row>
    <row r="439" spans="4:4">
      <c r="D439">
        <v>12599</v>
      </c>
    </row>
    <row r="440" spans="4:4">
      <c r="D440">
        <v>12630</v>
      </c>
    </row>
    <row r="441" spans="4:4">
      <c r="D441">
        <v>12661</v>
      </c>
    </row>
    <row r="442" spans="4:4">
      <c r="D442">
        <v>12691</v>
      </c>
    </row>
    <row r="443" spans="4:4">
      <c r="D443">
        <v>12722</v>
      </c>
    </row>
    <row r="444" spans="4:4">
      <c r="D444">
        <v>12752</v>
      </c>
    </row>
    <row r="445" spans="4:4">
      <c r="D445">
        <v>12783</v>
      </c>
    </row>
    <row r="446" spans="4:4">
      <c r="D446">
        <v>12814</v>
      </c>
    </row>
    <row r="447" spans="4:4">
      <c r="D447">
        <v>12843</v>
      </c>
    </row>
    <row r="448" spans="4:4">
      <c r="D448">
        <v>12874</v>
      </c>
    </row>
    <row r="449" spans="4:4">
      <c r="D449">
        <v>12904</v>
      </c>
    </row>
    <row r="450" spans="4:4">
      <c r="D450">
        <v>12935</v>
      </c>
    </row>
    <row r="451" spans="4:4">
      <c r="D451">
        <v>12965</v>
      </c>
    </row>
    <row r="452" spans="4:4">
      <c r="D452">
        <v>12996</v>
      </c>
    </row>
    <row r="453" spans="4:4">
      <c r="D453">
        <v>13027</v>
      </c>
    </row>
    <row r="454" spans="4:4">
      <c r="D454">
        <v>13057</v>
      </c>
    </row>
    <row r="455" spans="4:4">
      <c r="D455">
        <v>13088</v>
      </c>
    </row>
    <row r="456" spans="4:4">
      <c r="D456">
        <v>13118</v>
      </c>
    </row>
    <row r="457" spans="4:4">
      <c r="D457">
        <v>13149</v>
      </c>
    </row>
    <row r="458" spans="4:4">
      <c r="D458">
        <v>13180</v>
      </c>
    </row>
    <row r="459" spans="4:4">
      <c r="D459">
        <v>13208</v>
      </c>
    </row>
    <row r="460" spans="4:4">
      <c r="D460">
        <v>13239</v>
      </c>
    </row>
    <row r="461" spans="4:4">
      <c r="D461">
        <v>13269</v>
      </c>
    </row>
    <row r="462" spans="4:4">
      <c r="D462">
        <v>13300</v>
      </c>
    </row>
    <row r="463" spans="4:4">
      <c r="D463">
        <v>13330</v>
      </c>
    </row>
    <row r="464" spans="4:4">
      <c r="D464">
        <v>13361</v>
      </c>
    </row>
    <row r="465" spans="4:4">
      <c r="D465">
        <v>13392</v>
      </c>
    </row>
    <row r="466" spans="4:4">
      <c r="D466">
        <v>13422</v>
      </c>
    </row>
    <row r="467" spans="4:4">
      <c r="D467">
        <v>13453</v>
      </c>
    </row>
    <row r="468" spans="4:4">
      <c r="D468">
        <v>13483</v>
      </c>
    </row>
    <row r="469" spans="4:4">
      <c r="D469">
        <v>13514</v>
      </c>
    </row>
    <row r="470" spans="4:4">
      <c r="D470">
        <v>13545</v>
      </c>
    </row>
    <row r="471" spans="4:4">
      <c r="D471">
        <v>13573</v>
      </c>
    </row>
    <row r="472" spans="4:4">
      <c r="D472">
        <v>13604</v>
      </c>
    </row>
    <row r="473" spans="4:4">
      <c r="D473">
        <v>13634</v>
      </c>
    </row>
    <row r="474" spans="4:4">
      <c r="D474">
        <v>13665</v>
      </c>
    </row>
    <row r="475" spans="4:4">
      <c r="D475">
        <v>13695</v>
      </c>
    </row>
    <row r="476" spans="4:4">
      <c r="D476">
        <v>13726</v>
      </c>
    </row>
    <row r="477" spans="4:4">
      <c r="D477">
        <v>13757</v>
      </c>
    </row>
    <row r="478" spans="4:4">
      <c r="D478">
        <v>13787</v>
      </c>
    </row>
    <row r="479" spans="4:4">
      <c r="D479">
        <v>13818</v>
      </c>
    </row>
    <row r="480" spans="4:4">
      <c r="D480">
        <v>13848</v>
      </c>
    </row>
    <row r="481" spans="4:4">
      <c r="D481">
        <v>13879</v>
      </c>
    </row>
    <row r="482" spans="4:4">
      <c r="D482">
        <v>13910</v>
      </c>
    </row>
    <row r="483" spans="4:4">
      <c r="D483">
        <v>13938</v>
      </c>
    </row>
    <row r="484" spans="4:4">
      <c r="D484">
        <v>13969</v>
      </c>
    </row>
    <row r="485" spans="4:4">
      <c r="D485">
        <v>13999</v>
      </c>
    </row>
    <row r="486" spans="4:4">
      <c r="D486">
        <v>14030</v>
      </c>
    </row>
    <row r="487" spans="4:4">
      <c r="D487">
        <v>14060</v>
      </c>
    </row>
    <row r="488" spans="4:4">
      <c r="D488">
        <v>14091</v>
      </c>
    </row>
    <row r="489" spans="4:4">
      <c r="D489">
        <v>14122</v>
      </c>
    </row>
    <row r="490" spans="4:4">
      <c r="D490">
        <v>14152</v>
      </c>
    </row>
    <row r="491" spans="4:4">
      <c r="D491">
        <v>14183</v>
      </c>
    </row>
    <row r="492" spans="4:4">
      <c r="D492">
        <v>14213</v>
      </c>
    </row>
    <row r="493" spans="4:4">
      <c r="D493">
        <v>14244</v>
      </c>
    </row>
    <row r="494" spans="4:4">
      <c r="D494">
        <v>14275</v>
      </c>
    </row>
    <row r="495" spans="4:4">
      <c r="D495">
        <v>14304</v>
      </c>
    </row>
    <row r="496" spans="4:4">
      <c r="D496">
        <v>14335</v>
      </c>
    </row>
    <row r="497" spans="4:4">
      <c r="D497">
        <v>14365</v>
      </c>
    </row>
    <row r="498" spans="4:4">
      <c r="D498">
        <v>14396</v>
      </c>
    </row>
    <row r="499" spans="4:4">
      <c r="D499">
        <v>14426</v>
      </c>
    </row>
    <row r="500" spans="4:4">
      <c r="D500">
        <v>14457</v>
      </c>
    </row>
    <row r="501" spans="4:4">
      <c r="D501">
        <v>14488</v>
      </c>
    </row>
    <row r="502" spans="4:4">
      <c r="D502">
        <v>14518</v>
      </c>
    </row>
    <row r="503" spans="4:4">
      <c r="D503">
        <v>14549</v>
      </c>
    </row>
    <row r="504" spans="4:4">
      <c r="D504">
        <v>14579</v>
      </c>
    </row>
    <row r="505" spans="4:4">
      <c r="D505">
        <v>14610</v>
      </c>
    </row>
    <row r="506" spans="4:4">
      <c r="D506">
        <v>14641</v>
      </c>
    </row>
    <row r="507" spans="4:4">
      <c r="D507">
        <v>14669</v>
      </c>
    </row>
    <row r="508" spans="4:4">
      <c r="D508">
        <v>14700</v>
      </c>
    </row>
    <row r="509" spans="4:4">
      <c r="D509">
        <v>14730</v>
      </c>
    </row>
    <row r="510" spans="4:4">
      <c r="D510">
        <v>14761</v>
      </c>
    </row>
    <row r="511" spans="4:4">
      <c r="D511">
        <v>14791</v>
      </c>
    </row>
    <row r="512" spans="4:4">
      <c r="D512">
        <v>14822</v>
      </c>
    </row>
    <row r="513" spans="4:4">
      <c r="D513">
        <v>14853</v>
      </c>
    </row>
    <row r="514" spans="4:4">
      <c r="D514">
        <v>14883</v>
      </c>
    </row>
    <row r="515" spans="4:4">
      <c r="D515">
        <v>14914</v>
      </c>
    </row>
    <row r="516" spans="4:4">
      <c r="D516">
        <v>14944</v>
      </c>
    </row>
    <row r="517" spans="4:4">
      <c r="D517">
        <v>14975</v>
      </c>
    </row>
    <row r="518" spans="4:4">
      <c r="D518">
        <v>15006</v>
      </c>
    </row>
    <row r="519" spans="4:4">
      <c r="D519">
        <v>15034</v>
      </c>
    </row>
    <row r="520" spans="4:4">
      <c r="D520">
        <v>15065</v>
      </c>
    </row>
    <row r="521" spans="4:4">
      <c r="D521">
        <v>15095</v>
      </c>
    </row>
    <row r="522" spans="4:4">
      <c r="D522">
        <v>15126</v>
      </c>
    </row>
    <row r="523" spans="4:4">
      <c r="D523">
        <v>15156</v>
      </c>
    </row>
    <row r="524" spans="4:4">
      <c r="D524">
        <v>15187</v>
      </c>
    </row>
    <row r="525" spans="4:4">
      <c r="D525">
        <v>15218</v>
      </c>
    </row>
    <row r="526" spans="4:4">
      <c r="D526">
        <v>15248</v>
      </c>
    </row>
    <row r="527" spans="4:4">
      <c r="D527">
        <v>15279</v>
      </c>
    </row>
    <row r="528" spans="4:4">
      <c r="D528">
        <v>15309</v>
      </c>
    </row>
    <row r="529" spans="4:4">
      <c r="D529">
        <v>15340</v>
      </c>
    </row>
    <row r="530" spans="4:4">
      <c r="D530">
        <v>15371</v>
      </c>
    </row>
    <row r="531" spans="4:4">
      <c r="D531">
        <v>15399</v>
      </c>
    </row>
    <row r="532" spans="4:4">
      <c r="D532">
        <v>15430</v>
      </c>
    </row>
    <row r="533" spans="4:4">
      <c r="D533">
        <v>15460</v>
      </c>
    </row>
    <row r="534" spans="4:4">
      <c r="D534">
        <v>15491</v>
      </c>
    </row>
    <row r="535" spans="4:4">
      <c r="D535">
        <v>15521</v>
      </c>
    </row>
    <row r="536" spans="4:4">
      <c r="D536">
        <v>15552</v>
      </c>
    </row>
    <row r="537" spans="4:4">
      <c r="D537">
        <v>15583</v>
      </c>
    </row>
    <row r="538" spans="4:4">
      <c r="D538">
        <v>15613</v>
      </c>
    </row>
    <row r="539" spans="4:4">
      <c r="D539">
        <v>15644</v>
      </c>
    </row>
    <row r="540" spans="4:4">
      <c r="D540">
        <v>15674</v>
      </c>
    </row>
    <row r="541" spans="4:4">
      <c r="D541">
        <v>15705</v>
      </c>
    </row>
    <row r="542" spans="4:4">
      <c r="D542">
        <v>15736</v>
      </c>
    </row>
    <row r="543" spans="4:4">
      <c r="D543">
        <v>15765</v>
      </c>
    </row>
    <row r="544" spans="4:4">
      <c r="D544">
        <v>15796</v>
      </c>
    </row>
    <row r="545" spans="4:4">
      <c r="D545">
        <v>15826</v>
      </c>
    </row>
    <row r="546" spans="4:4">
      <c r="D546">
        <v>15857</v>
      </c>
    </row>
    <row r="547" spans="4:4">
      <c r="D547">
        <v>15887</v>
      </c>
    </row>
    <row r="548" spans="4:4">
      <c r="D548">
        <v>15918</v>
      </c>
    </row>
    <row r="549" spans="4:4">
      <c r="D549">
        <v>15949</v>
      </c>
    </row>
    <row r="550" spans="4:4">
      <c r="D550">
        <v>15979</v>
      </c>
    </row>
    <row r="551" spans="4:4">
      <c r="D551">
        <v>16010</v>
      </c>
    </row>
    <row r="552" spans="4:4">
      <c r="D552">
        <v>16040</v>
      </c>
    </row>
    <row r="553" spans="4:4">
      <c r="D553">
        <v>16071</v>
      </c>
    </row>
    <row r="554" spans="4:4">
      <c r="D554">
        <v>16102</v>
      </c>
    </row>
    <row r="555" spans="4:4">
      <c r="D555">
        <v>16130</v>
      </c>
    </row>
    <row r="556" spans="4:4">
      <c r="D556">
        <v>16161</v>
      </c>
    </row>
    <row r="557" spans="4:4">
      <c r="D557">
        <v>16191</v>
      </c>
    </row>
    <row r="558" spans="4:4">
      <c r="D558">
        <v>16222</v>
      </c>
    </row>
    <row r="559" spans="4:4">
      <c r="D559">
        <v>16252</v>
      </c>
    </row>
    <row r="560" spans="4:4">
      <c r="D560">
        <v>16283</v>
      </c>
    </row>
    <row r="561" spans="4:4">
      <c r="D561">
        <v>16314</v>
      </c>
    </row>
    <row r="562" spans="4:4">
      <c r="D562">
        <v>16344</v>
      </c>
    </row>
    <row r="563" spans="4:4">
      <c r="D563">
        <v>16375</v>
      </c>
    </row>
    <row r="564" spans="4:4">
      <c r="D564">
        <v>16405</v>
      </c>
    </row>
    <row r="565" spans="4:4">
      <c r="D565">
        <v>16436</v>
      </c>
    </row>
    <row r="566" spans="4:4">
      <c r="D566">
        <v>16467</v>
      </c>
    </row>
    <row r="567" spans="4:4">
      <c r="D567">
        <v>16495</v>
      </c>
    </row>
    <row r="568" spans="4:4">
      <c r="D568">
        <v>16526</v>
      </c>
    </row>
    <row r="569" spans="4:4">
      <c r="D569">
        <v>16556</v>
      </c>
    </row>
    <row r="570" spans="4:4">
      <c r="D570">
        <v>16587</v>
      </c>
    </row>
    <row r="571" spans="4:4">
      <c r="D571">
        <v>16617</v>
      </c>
    </row>
    <row r="572" spans="4:4">
      <c r="D572">
        <v>16648</v>
      </c>
    </row>
    <row r="573" spans="4:4">
      <c r="D573">
        <v>16679</v>
      </c>
    </row>
    <row r="574" spans="4:4">
      <c r="D574">
        <v>16709</v>
      </c>
    </row>
    <row r="575" spans="4:4">
      <c r="D575">
        <v>16740</v>
      </c>
    </row>
    <row r="576" spans="4:4">
      <c r="D576">
        <v>16770</v>
      </c>
    </row>
    <row r="577" spans="4:4">
      <c r="D577">
        <v>16801</v>
      </c>
    </row>
    <row r="578" spans="4:4">
      <c r="D578">
        <v>16832</v>
      </c>
    </row>
    <row r="579" spans="4:4">
      <c r="D579">
        <v>16860</v>
      </c>
    </row>
    <row r="580" spans="4:4">
      <c r="D580">
        <v>16891</v>
      </c>
    </row>
    <row r="581" spans="4:4">
      <c r="D581">
        <v>16921</v>
      </c>
    </row>
    <row r="582" spans="4:4">
      <c r="D582">
        <v>16952</v>
      </c>
    </row>
    <row r="583" spans="4:4">
      <c r="D583">
        <v>16982</v>
      </c>
    </row>
    <row r="584" spans="4:4">
      <c r="D584">
        <v>17013</v>
      </c>
    </row>
    <row r="585" spans="4:4">
      <c r="D585">
        <v>17044</v>
      </c>
    </row>
    <row r="586" spans="4:4">
      <c r="D586">
        <v>17074</v>
      </c>
    </row>
    <row r="587" spans="4:4">
      <c r="D587">
        <v>17105</v>
      </c>
    </row>
    <row r="588" spans="4:4">
      <c r="D588">
        <v>17135</v>
      </c>
    </row>
    <row r="589" spans="4:4">
      <c r="D589">
        <v>17166</v>
      </c>
    </row>
    <row r="590" spans="4:4">
      <c r="D590">
        <v>17197</v>
      </c>
    </row>
    <row r="591" spans="4:4">
      <c r="D591">
        <v>17226</v>
      </c>
    </row>
    <row r="592" spans="4:4">
      <c r="D592">
        <v>17257</v>
      </c>
    </row>
    <row r="593" spans="4:4">
      <c r="D593">
        <v>17287</v>
      </c>
    </row>
    <row r="594" spans="4:4">
      <c r="D594">
        <v>17318</v>
      </c>
    </row>
    <row r="595" spans="4:4">
      <c r="D595">
        <v>17348</v>
      </c>
    </row>
    <row r="596" spans="4:4">
      <c r="D596">
        <v>17379</v>
      </c>
    </row>
    <row r="597" spans="4:4">
      <c r="D597">
        <v>17410</v>
      </c>
    </row>
    <row r="598" spans="4:4">
      <c r="D598">
        <v>17440</v>
      </c>
    </row>
    <row r="599" spans="4:4">
      <c r="D599">
        <v>17471</v>
      </c>
    </row>
    <row r="600" spans="4:4">
      <c r="D600">
        <v>17501</v>
      </c>
    </row>
    <row r="601" spans="4:4">
      <c r="D601">
        <v>17532</v>
      </c>
    </row>
    <row r="602" spans="4:4">
      <c r="D602">
        <v>17563</v>
      </c>
    </row>
    <row r="603" spans="4:4">
      <c r="D603">
        <v>17591</v>
      </c>
    </row>
    <row r="604" spans="4:4">
      <c r="D604">
        <v>17622</v>
      </c>
    </row>
    <row r="605" spans="4:4">
      <c r="D605">
        <v>17652</v>
      </c>
    </row>
    <row r="606" spans="4:4">
      <c r="D606">
        <v>17683</v>
      </c>
    </row>
    <row r="607" spans="4:4">
      <c r="D607">
        <v>17713</v>
      </c>
    </row>
    <row r="608" spans="4:4">
      <c r="D608">
        <v>17744</v>
      </c>
    </row>
    <row r="609" spans="4:4">
      <c r="D609">
        <v>17775</v>
      </c>
    </row>
    <row r="610" spans="4:4">
      <c r="D610">
        <v>17805</v>
      </c>
    </row>
    <row r="611" spans="4:4">
      <c r="D611">
        <v>17836</v>
      </c>
    </row>
    <row r="612" spans="4:4">
      <c r="D612">
        <v>17866</v>
      </c>
    </row>
    <row r="613" spans="4:4">
      <c r="D613">
        <v>17897</v>
      </c>
    </row>
    <row r="614" spans="4:4">
      <c r="D614">
        <v>17928</v>
      </c>
    </row>
    <row r="615" spans="4:4">
      <c r="D615">
        <v>17956</v>
      </c>
    </row>
    <row r="616" spans="4:4">
      <c r="D616">
        <v>17987</v>
      </c>
    </row>
    <row r="617" spans="4:4">
      <c r="D617">
        <v>18017</v>
      </c>
    </row>
    <row r="618" spans="4:4">
      <c r="D618">
        <v>18048</v>
      </c>
    </row>
    <row r="619" spans="4:4">
      <c r="D619">
        <v>18078</v>
      </c>
    </row>
    <row r="620" spans="4:4">
      <c r="D620">
        <v>18109</v>
      </c>
    </row>
    <row r="621" spans="4:4">
      <c r="D621">
        <v>18140</v>
      </c>
    </row>
    <row r="622" spans="4:4">
      <c r="D622">
        <v>18170</v>
      </c>
    </row>
    <row r="623" spans="4:4">
      <c r="D623">
        <v>18201</v>
      </c>
    </row>
    <row r="624" spans="4:4">
      <c r="D624">
        <v>18231</v>
      </c>
    </row>
    <row r="625" spans="4:4">
      <c r="D625">
        <v>18262</v>
      </c>
    </row>
    <row r="626" spans="4:4">
      <c r="D626">
        <v>18293</v>
      </c>
    </row>
    <row r="627" spans="4:4">
      <c r="D627">
        <v>18321</v>
      </c>
    </row>
    <row r="628" spans="4:4">
      <c r="D628">
        <v>18352</v>
      </c>
    </row>
    <row r="629" spans="4:4">
      <c r="D629">
        <v>18382</v>
      </c>
    </row>
    <row r="630" spans="4:4">
      <c r="D630">
        <v>18413</v>
      </c>
    </row>
    <row r="631" spans="4:4">
      <c r="D631">
        <v>18443</v>
      </c>
    </row>
    <row r="632" spans="4:4">
      <c r="D632">
        <v>18474</v>
      </c>
    </row>
    <row r="633" spans="4:4">
      <c r="D633">
        <v>18505</v>
      </c>
    </row>
    <row r="634" spans="4:4">
      <c r="D634">
        <v>18535</v>
      </c>
    </row>
    <row r="635" spans="4:4">
      <c r="D635">
        <v>18566</v>
      </c>
    </row>
    <row r="636" spans="4:4">
      <c r="D636">
        <v>18596</v>
      </c>
    </row>
    <row r="637" spans="4:4">
      <c r="D637">
        <v>18627</v>
      </c>
    </row>
    <row r="638" spans="4:4">
      <c r="D638">
        <v>18658</v>
      </c>
    </row>
    <row r="639" spans="4:4">
      <c r="D639">
        <v>18687</v>
      </c>
    </row>
    <row r="640" spans="4:4">
      <c r="D640">
        <v>18718</v>
      </c>
    </row>
    <row r="641" spans="4:4">
      <c r="D641">
        <v>18748</v>
      </c>
    </row>
    <row r="642" spans="4:4">
      <c r="D642">
        <v>18779</v>
      </c>
    </row>
    <row r="643" spans="4:4">
      <c r="D643">
        <v>18809</v>
      </c>
    </row>
    <row r="644" spans="4:4">
      <c r="D644">
        <v>18840</v>
      </c>
    </row>
    <row r="645" spans="4:4">
      <c r="D645">
        <v>18871</v>
      </c>
    </row>
    <row r="646" spans="4:4">
      <c r="D646">
        <v>18901</v>
      </c>
    </row>
    <row r="647" spans="4:4">
      <c r="D647">
        <v>18932</v>
      </c>
    </row>
    <row r="648" spans="4:4">
      <c r="D648">
        <v>18962</v>
      </c>
    </row>
    <row r="649" spans="4:4">
      <c r="D649">
        <v>18993</v>
      </c>
    </row>
    <row r="650" spans="4:4">
      <c r="D650">
        <v>19024</v>
      </c>
    </row>
    <row r="651" spans="4:4">
      <c r="D651">
        <v>19052</v>
      </c>
    </row>
    <row r="652" spans="4:4">
      <c r="D652">
        <v>19083</v>
      </c>
    </row>
    <row r="653" spans="4:4">
      <c r="D653">
        <v>19113</v>
      </c>
    </row>
    <row r="654" spans="4:4">
      <c r="D654">
        <v>19144</v>
      </c>
    </row>
    <row r="655" spans="4:4">
      <c r="D655">
        <v>19174</v>
      </c>
    </row>
    <row r="656" spans="4:4">
      <c r="D656">
        <v>19205</v>
      </c>
    </row>
    <row r="657" spans="4:4">
      <c r="D657">
        <v>19236</v>
      </c>
    </row>
    <row r="658" spans="4:4">
      <c r="D658">
        <v>19266</v>
      </c>
    </row>
    <row r="659" spans="4:4">
      <c r="D659">
        <v>19297</v>
      </c>
    </row>
    <row r="660" spans="4:4">
      <c r="D660">
        <v>19327</v>
      </c>
    </row>
    <row r="661" spans="4:4">
      <c r="D661">
        <v>19358</v>
      </c>
    </row>
    <row r="662" spans="4:4">
      <c r="D662">
        <v>19389</v>
      </c>
    </row>
    <row r="663" spans="4:4">
      <c r="D663">
        <v>19417</v>
      </c>
    </row>
    <row r="664" spans="4:4">
      <c r="D664">
        <v>19448</v>
      </c>
    </row>
    <row r="665" spans="4:4">
      <c r="D665">
        <v>19478</v>
      </c>
    </row>
    <row r="666" spans="4:4">
      <c r="D666">
        <v>19509</v>
      </c>
    </row>
    <row r="667" spans="4:4">
      <c r="D667">
        <v>19539</v>
      </c>
    </row>
    <row r="668" spans="4:4">
      <c r="D668">
        <v>19570</v>
      </c>
    </row>
    <row r="669" spans="4:4">
      <c r="D669">
        <v>19601</v>
      </c>
    </row>
    <row r="670" spans="4:4">
      <c r="D670">
        <v>19631</v>
      </c>
    </row>
    <row r="671" spans="4:4">
      <c r="D671">
        <v>19662</v>
      </c>
    </row>
    <row r="672" spans="4:4">
      <c r="D672">
        <v>19692</v>
      </c>
    </row>
    <row r="673" spans="4:4">
      <c r="D673">
        <v>19723</v>
      </c>
    </row>
    <row r="674" spans="4:4">
      <c r="D674">
        <v>19754</v>
      </c>
    </row>
    <row r="675" spans="4:4">
      <c r="D675">
        <v>19782</v>
      </c>
    </row>
    <row r="676" spans="4:4">
      <c r="D676">
        <v>19813</v>
      </c>
    </row>
    <row r="677" spans="4:4">
      <c r="D677">
        <v>19843</v>
      </c>
    </row>
    <row r="678" spans="4:4">
      <c r="D678">
        <v>19874</v>
      </c>
    </row>
    <row r="679" spans="4:4">
      <c r="D679">
        <v>19904</v>
      </c>
    </row>
    <row r="680" spans="4:4">
      <c r="D680">
        <v>19935</v>
      </c>
    </row>
    <row r="681" spans="4:4">
      <c r="D681">
        <v>19966</v>
      </c>
    </row>
    <row r="682" spans="4:4">
      <c r="D682">
        <v>19996</v>
      </c>
    </row>
    <row r="683" spans="4:4">
      <c r="D683">
        <v>20027</v>
      </c>
    </row>
    <row r="684" spans="4:4">
      <c r="D684">
        <v>20057</v>
      </c>
    </row>
    <row r="685" spans="4:4">
      <c r="D685">
        <v>20088</v>
      </c>
    </row>
    <row r="686" spans="4:4">
      <c r="D686">
        <v>20119</v>
      </c>
    </row>
    <row r="687" spans="4:4">
      <c r="D687">
        <v>20148</v>
      </c>
    </row>
    <row r="688" spans="4:4">
      <c r="D688">
        <v>20179</v>
      </c>
    </row>
    <row r="689" spans="4:4">
      <c r="D689">
        <v>20209</v>
      </c>
    </row>
    <row r="690" spans="4:4">
      <c r="D690">
        <v>20240</v>
      </c>
    </row>
    <row r="691" spans="4:4">
      <c r="D691">
        <v>20270</v>
      </c>
    </row>
    <row r="692" spans="4:4">
      <c r="D692">
        <v>20301</v>
      </c>
    </row>
    <row r="693" spans="4:4">
      <c r="D693">
        <v>20332</v>
      </c>
    </row>
    <row r="694" spans="4:4">
      <c r="D694">
        <v>20362</v>
      </c>
    </row>
    <row r="695" spans="4:4">
      <c r="D695">
        <v>20393</v>
      </c>
    </row>
    <row r="696" spans="4:4">
      <c r="D696">
        <v>20423</v>
      </c>
    </row>
    <row r="697" spans="4:4">
      <c r="D697">
        <v>20454</v>
      </c>
    </row>
    <row r="698" spans="4:4">
      <c r="D698">
        <v>20485</v>
      </c>
    </row>
    <row r="699" spans="4:4">
      <c r="D699">
        <v>20513</v>
      </c>
    </row>
    <row r="700" spans="4:4">
      <c r="D700">
        <v>20544</v>
      </c>
    </row>
    <row r="701" spans="4:4">
      <c r="D701">
        <v>20574</v>
      </c>
    </row>
    <row r="702" spans="4:4">
      <c r="D702">
        <v>20605</v>
      </c>
    </row>
    <row r="703" spans="4:4">
      <c r="D703">
        <v>20635</v>
      </c>
    </row>
    <row r="704" spans="4:4">
      <c r="D704">
        <v>20666</v>
      </c>
    </row>
    <row r="705" spans="4:4">
      <c r="D705">
        <v>20697</v>
      </c>
    </row>
    <row r="706" spans="4:4">
      <c r="D706">
        <v>20727</v>
      </c>
    </row>
    <row r="707" spans="4:4">
      <c r="D707">
        <v>20758</v>
      </c>
    </row>
    <row r="708" spans="4:4">
      <c r="D708">
        <v>20788</v>
      </c>
    </row>
    <row r="709" spans="4:4">
      <c r="D709">
        <v>20819</v>
      </c>
    </row>
    <row r="710" spans="4:4">
      <c r="D710">
        <v>20850</v>
      </c>
    </row>
    <row r="711" spans="4:4">
      <c r="D711">
        <v>20878</v>
      </c>
    </row>
    <row r="712" spans="4:4">
      <c r="D712">
        <v>20909</v>
      </c>
    </row>
    <row r="713" spans="4:4">
      <c r="D713">
        <v>20939</v>
      </c>
    </row>
    <row r="714" spans="4:4">
      <c r="D714">
        <v>20970</v>
      </c>
    </row>
    <row r="715" spans="4:4">
      <c r="D715">
        <v>21000</v>
      </c>
    </row>
    <row r="716" spans="4:4">
      <c r="D716">
        <v>21031</v>
      </c>
    </row>
    <row r="717" spans="4:4">
      <c r="D717">
        <v>21062</v>
      </c>
    </row>
    <row r="718" spans="4:4">
      <c r="D718">
        <v>21092</v>
      </c>
    </row>
    <row r="719" spans="4:4">
      <c r="D719">
        <v>21123</v>
      </c>
    </row>
    <row r="720" spans="4:4">
      <c r="D720">
        <v>21153</v>
      </c>
    </row>
    <row r="721" spans="4:4">
      <c r="D721">
        <v>21184</v>
      </c>
    </row>
    <row r="722" spans="4:4">
      <c r="D722">
        <v>21215</v>
      </c>
    </row>
    <row r="723" spans="4:4">
      <c r="D723">
        <v>21243</v>
      </c>
    </row>
    <row r="724" spans="4:4">
      <c r="D724">
        <v>21274</v>
      </c>
    </row>
    <row r="725" spans="4:4">
      <c r="D725">
        <v>21304</v>
      </c>
    </row>
    <row r="726" spans="4:4">
      <c r="D726">
        <v>21335</v>
      </c>
    </row>
    <row r="727" spans="4:4">
      <c r="D727">
        <v>21365</v>
      </c>
    </row>
    <row r="728" spans="4:4">
      <c r="D728">
        <v>21396</v>
      </c>
    </row>
    <row r="729" spans="4:4">
      <c r="D729">
        <v>21427</v>
      </c>
    </row>
    <row r="730" spans="4:4">
      <c r="D730">
        <v>21457</v>
      </c>
    </row>
    <row r="731" spans="4:4">
      <c r="D731">
        <v>21488</v>
      </c>
    </row>
    <row r="732" spans="4:4">
      <c r="D732">
        <v>21518</v>
      </c>
    </row>
    <row r="733" spans="4:4">
      <c r="D733">
        <v>21549</v>
      </c>
    </row>
    <row r="734" spans="4:4">
      <c r="D734">
        <v>21580</v>
      </c>
    </row>
    <row r="735" spans="4:4">
      <c r="D735">
        <v>21609</v>
      </c>
    </row>
    <row r="736" spans="4:4">
      <c r="D736">
        <v>21640</v>
      </c>
    </row>
    <row r="737" spans="4:4">
      <c r="D737">
        <v>21670</v>
      </c>
    </row>
    <row r="738" spans="4:4">
      <c r="D738">
        <v>21701</v>
      </c>
    </row>
    <row r="739" spans="4:4">
      <c r="D739">
        <v>21731</v>
      </c>
    </row>
    <row r="740" spans="4:4">
      <c r="D740">
        <v>21762</v>
      </c>
    </row>
    <row r="741" spans="4:4">
      <c r="D741">
        <v>21793</v>
      </c>
    </row>
    <row r="742" spans="4:4">
      <c r="D742">
        <v>21823</v>
      </c>
    </row>
    <row r="743" spans="4:4">
      <c r="D743">
        <v>21854</v>
      </c>
    </row>
    <row r="744" spans="4:4">
      <c r="D744">
        <v>21884</v>
      </c>
    </row>
    <row r="745" spans="4:4">
      <c r="D745">
        <v>21915</v>
      </c>
    </row>
    <row r="746" spans="4:4">
      <c r="D746">
        <v>21946</v>
      </c>
    </row>
    <row r="747" spans="4:4">
      <c r="D747">
        <v>21974</v>
      </c>
    </row>
    <row r="748" spans="4:4">
      <c r="D748">
        <v>22005</v>
      </c>
    </row>
    <row r="749" spans="4:4">
      <c r="D749">
        <v>22035</v>
      </c>
    </row>
    <row r="750" spans="4:4">
      <c r="D750">
        <v>22066</v>
      </c>
    </row>
    <row r="751" spans="4:4">
      <c r="D751">
        <v>22096</v>
      </c>
    </row>
    <row r="752" spans="4:4">
      <c r="D752">
        <v>22127</v>
      </c>
    </row>
    <row r="753" spans="4:4">
      <c r="D753">
        <v>22158</v>
      </c>
    </row>
    <row r="754" spans="4:4">
      <c r="D754">
        <v>22188</v>
      </c>
    </row>
    <row r="755" spans="4:4">
      <c r="D755">
        <v>22219</v>
      </c>
    </row>
    <row r="756" spans="4:4">
      <c r="D756">
        <v>22249</v>
      </c>
    </row>
    <row r="757" spans="4:4">
      <c r="D757">
        <v>22280</v>
      </c>
    </row>
    <row r="758" spans="4:4">
      <c r="D758">
        <v>22311</v>
      </c>
    </row>
    <row r="759" spans="4:4">
      <c r="D759">
        <v>22339</v>
      </c>
    </row>
    <row r="760" spans="4:4">
      <c r="D760">
        <v>22370</v>
      </c>
    </row>
    <row r="761" spans="4:4">
      <c r="D761">
        <v>22400</v>
      </c>
    </row>
    <row r="762" spans="4:4">
      <c r="D762">
        <v>22431</v>
      </c>
    </row>
    <row r="763" spans="4:4">
      <c r="D763">
        <v>22461</v>
      </c>
    </row>
    <row r="764" spans="4:4">
      <c r="D764">
        <v>22492</v>
      </c>
    </row>
    <row r="765" spans="4:4">
      <c r="D765">
        <v>22523</v>
      </c>
    </row>
    <row r="766" spans="4:4">
      <c r="D766">
        <v>22553</v>
      </c>
    </row>
    <row r="767" spans="4:4">
      <c r="D767">
        <v>22584</v>
      </c>
    </row>
    <row r="768" spans="4:4">
      <c r="D768">
        <v>22614</v>
      </c>
    </row>
    <row r="769" spans="4:4">
      <c r="D769">
        <v>22645</v>
      </c>
    </row>
    <row r="770" spans="4:4">
      <c r="D770">
        <v>22676</v>
      </c>
    </row>
    <row r="771" spans="4:4">
      <c r="D771">
        <v>22704</v>
      </c>
    </row>
    <row r="772" spans="4:4">
      <c r="D772">
        <v>22735</v>
      </c>
    </row>
    <row r="773" spans="4:4">
      <c r="D773">
        <v>22765</v>
      </c>
    </row>
    <row r="774" spans="4:4">
      <c r="D774">
        <v>22796</v>
      </c>
    </row>
    <row r="775" spans="4:4">
      <c r="D775">
        <v>22826</v>
      </c>
    </row>
    <row r="776" spans="4:4">
      <c r="D776">
        <v>22857</v>
      </c>
    </row>
    <row r="777" spans="4:4">
      <c r="D777">
        <v>22888</v>
      </c>
    </row>
    <row r="778" spans="4:4">
      <c r="D778">
        <v>22918</v>
      </c>
    </row>
    <row r="779" spans="4:4">
      <c r="D779">
        <v>22949</v>
      </c>
    </row>
    <row r="780" spans="4:4">
      <c r="D780">
        <v>22979</v>
      </c>
    </row>
    <row r="781" spans="4:4">
      <c r="D781">
        <v>23010</v>
      </c>
    </row>
    <row r="782" spans="4:4">
      <c r="D782">
        <v>23041</v>
      </c>
    </row>
    <row r="783" spans="4:4">
      <c r="D783">
        <v>23070</v>
      </c>
    </row>
    <row r="784" spans="4:4">
      <c r="D784">
        <v>23101</v>
      </c>
    </row>
    <row r="785" spans="4:4">
      <c r="D785">
        <v>23131</v>
      </c>
    </row>
    <row r="786" spans="4:4">
      <c r="D786">
        <v>23162</v>
      </c>
    </row>
    <row r="787" spans="4:4">
      <c r="D787">
        <v>23192</v>
      </c>
    </row>
    <row r="788" spans="4:4">
      <c r="D788">
        <v>23223</v>
      </c>
    </row>
    <row r="789" spans="4:4">
      <c r="D789">
        <v>23254</v>
      </c>
    </row>
    <row r="790" spans="4:4">
      <c r="D790">
        <v>23284</v>
      </c>
    </row>
    <row r="791" spans="4:4">
      <c r="D791">
        <v>23315</v>
      </c>
    </row>
    <row r="792" spans="4:4">
      <c r="D792">
        <v>23345</v>
      </c>
    </row>
    <row r="793" spans="4:4">
      <c r="D793">
        <v>23376</v>
      </c>
    </row>
    <row r="794" spans="4:4">
      <c r="D794">
        <v>23407</v>
      </c>
    </row>
    <row r="795" spans="4:4">
      <c r="D795">
        <v>23435</v>
      </c>
    </row>
    <row r="796" spans="4:4">
      <c r="D796">
        <v>23466</v>
      </c>
    </row>
    <row r="797" spans="4:4">
      <c r="D797">
        <v>23496</v>
      </c>
    </row>
    <row r="798" spans="4:4">
      <c r="D798">
        <v>23527</v>
      </c>
    </row>
    <row r="799" spans="4:4">
      <c r="D799">
        <v>23557</v>
      </c>
    </row>
    <row r="800" spans="4:4">
      <c r="D800">
        <v>23588</v>
      </c>
    </row>
    <row r="801" spans="4:4">
      <c r="D801">
        <v>23619</v>
      </c>
    </row>
    <row r="802" spans="4:4">
      <c r="D802">
        <v>23649</v>
      </c>
    </row>
    <row r="803" spans="4:4">
      <c r="D803">
        <v>23680</v>
      </c>
    </row>
    <row r="804" spans="4:4">
      <c r="D804">
        <v>23710</v>
      </c>
    </row>
    <row r="805" spans="4:4">
      <c r="D805">
        <v>23741</v>
      </c>
    </row>
    <row r="806" spans="4:4">
      <c r="D806">
        <v>23772</v>
      </c>
    </row>
    <row r="807" spans="4:4">
      <c r="D807">
        <v>23800</v>
      </c>
    </row>
    <row r="808" spans="4:4">
      <c r="D808">
        <v>23831</v>
      </c>
    </row>
    <row r="809" spans="4:4">
      <c r="D809">
        <v>23861</v>
      </c>
    </row>
    <row r="810" spans="4:4">
      <c r="D810">
        <v>23892</v>
      </c>
    </row>
    <row r="811" spans="4:4">
      <c r="D811">
        <v>23922</v>
      </c>
    </row>
    <row r="812" spans="4:4">
      <c r="D812">
        <v>23953</v>
      </c>
    </row>
    <row r="813" spans="4:4">
      <c r="D813">
        <v>23984</v>
      </c>
    </row>
    <row r="814" spans="4:4">
      <c r="D814">
        <v>24014</v>
      </c>
    </row>
    <row r="815" spans="4:4">
      <c r="D815">
        <v>24045</v>
      </c>
    </row>
    <row r="816" spans="4:4">
      <c r="D816">
        <v>24075</v>
      </c>
    </row>
    <row r="817" spans="4:4">
      <c r="D817">
        <v>24106</v>
      </c>
    </row>
    <row r="818" spans="4:4">
      <c r="D818">
        <v>24137</v>
      </c>
    </row>
    <row r="819" spans="4:4">
      <c r="D819">
        <v>24165</v>
      </c>
    </row>
    <row r="820" spans="4:4">
      <c r="D820">
        <v>24196</v>
      </c>
    </row>
    <row r="821" spans="4:4">
      <c r="D821">
        <v>24226</v>
      </c>
    </row>
    <row r="822" spans="4:4">
      <c r="D822">
        <v>24257</v>
      </c>
    </row>
    <row r="823" spans="4:4">
      <c r="D823">
        <v>24287</v>
      </c>
    </row>
    <row r="824" spans="4:4">
      <c r="D824">
        <v>24318</v>
      </c>
    </row>
    <row r="825" spans="4:4">
      <c r="D825">
        <v>24349</v>
      </c>
    </row>
    <row r="826" spans="4:4">
      <c r="D826">
        <v>24379</v>
      </c>
    </row>
    <row r="827" spans="4:4">
      <c r="D827">
        <v>24410</v>
      </c>
    </row>
    <row r="828" spans="4:4">
      <c r="D828">
        <v>24440</v>
      </c>
    </row>
    <row r="829" spans="4:4">
      <c r="D829">
        <v>24471</v>
      </c>
    </row>
    <row r="830" spans="4:4">
      <c r="D830">
        <v>24502</v>
      </c>
    </row>
    <row r="831" spans="4:4">
      <c r="D831">
        <v>24531</v>
      </c>
    </row>
    <row r="832" spans="4:4">
      <c r="D832">
        <v>24562</v>
      </c>
    </row>
    <row r="833" spans="4:4">
      <c r="D833">
        <v>24592</v>
      </c>
    </row>
    <row r="834" spans="4:4">
      <c r="D834">
        <v>24623</v>
      </c>
    </row>
    <row r="835" spans="4:4">
      <c r="D835">
        <v>24653</v>
      </c>
    </row>
    <row r="836" spans="4:4">
      <c r="D836">
        <v>24684</v>
      </c>
    </row>
    <row r="837" spans="4:4">
      <c r="D837">
        <v>24715</v>
      </c>
    </row>
    <row r="838" spans="4:4">
      <c r="D838">
        <v>24745</v>
      </c>
    </row>
    <row r="839" spans="4:4">
      <c r="D839">
        <v>24776</v>
      </c>
    </row>
    <row r="840" spans="4:4">
      <c r="D840">
        <v>24806</v>
      </c>
    </row>
    <row r="841" spans="4:4">
      <c r="D841">
        <v>24837</v>
      </c>
    </row>
    <row r="842" spans="4:4">
      <c r="D842">
        <v>24868</v>
      </c>
    </row>
    <row r="843" spans="4:4">
      <c r="D843">
        <v>24896</v>
      </c>
    </row>
    <row r="844" spans="4:4">
      <c r="D844">
        <v>24927</v>
      </c>
    </row>
    <row r="845" spans="4:4">
      <c r="D845">
        <v>24957</v>
      </c>
    </row>
    <row r="846" spans="4:4">
      <c r="D846">
        <v>24988</v>
      </c>
    </row>
    <row r="847" spans="4:4">
      <c r="D847">
        <v>25018</v>
      </c>
    </row>
    <row r="848" spans="4:4">
      <c r="D848">
        <v>25049</v>
      </c>
    </row>
    <row r="849" spans="4:4">
      <c r="D849">
        <v>25080</v>
      </c>
    </row>
    <row r="850" spans="4:4">
      <c r="D850">
        <v>25110</v>
      </c>
    </row>
    <row r="851" spans="4:4">
      <c r="D851">
        <v>25141</v>
      </c>
    </row>
    <row r="852" spans="4:4">
      <c r="D852">
        <v>25171</v>
      </c>
    </row>
    <row r="853" spans="4:4">
      <c r="D853">
        <v>25202</v>
      </c>
    </row>
    <row r="854" spans="4:4">
      <c r="D854">
        <v>25233</v>
      </c>
    </row>
    <row r="855" spans="4:4">
      <c r="D855">
        <v>25261</v>
      </c>
    </row>
    <row r="856" spans="4:4">
      <c r="D856">
        <v>25292</v>
      </c>
    </row>
    <row r="857" spans="4:4">
      <c r="D857">
        <v>25322</v>
      </c>
    </row>
    <row r="858" spans="4:4">
      <c r="D858">
        <v>25353</v>
      </c>
    </row>
    <row r="859" spans="4:4">
      <c r="D859">
        <v>25383</v>
      </c>
    </row>
    <row r="860" spans="4:4">
      <c r="D860">
        <v>25414</v>
      </c>
    </row>
    <row r="861" spans="4:4">
      <c r="D861">
        <v>25445</v>
      </c>
    </row>
    <row r="862" spans="4:4">
      <c r="D862">
        <v>25475</v>
      </c>
    </row>
    <row r="863" spans="4:4">
      <c r="D863">
        <v>25506</v>
      </c>
    </row>
    <row r="864" spans="4:4">
      <c r="D864">
        <v>25536</v>
      </c>
    </row>
    <row r="865" spans="4:4">
      <c r="D865">
        <v>25567</v>
      </c>
    </row>
    <row r="866" spans="4:4">
      <c r="D866">
        <v>25598</v>
      </c>
    </row>
    <row r="867" spans="4:4">
      <c r="D867">
        <v>25626</v>
      </c>
    </row>
    <row r="868" spans="4:4">
      <c r="D868">
        <v>25657</v>
      </c>
    </row>
    <row r="869" spans="4:4">
      <c r="D869">
        <v>25687</v>
      </c>
    </row>
    <row r="870" spans="4:4">
      <c r="D870">
        <v>25718</v>
      </c>
    </row>
    <row r="871" spans="4:4">
      <c r="D871">
        <v>25748</v>
      </c>
    </row>
    <row r="872" spans="4:4">
      <c r="D872">
        <v>25779</v>
      </c>
    </row>
    <row r="873" spans="4:4">
      <c r="D873">
        <v>25810</v>
      </c>
    </row>
    <row r="874" spans="4:4">
      <c r="D874">
        <v>25840</v>
      </c>
    </row>
    <row r="875" spans="4:4">
      <c r="D875">
        <v>25871</v>
      </c>
    </row>
    <row r="876" spans="4:4">
      <c r="D876">
        <v>25901</v>
      </c>
    </row>
    <row r="877" spans="4:4">
      <c r="D877">
        <v>25932</v>
      </c>
    </row>
    <row r="878" spans="4:4">
      <c r="D878">
        <v>25963</v>
      </c>
    </row>
    <row r="879" spans="4:4">
      <c r="D879">
        <v>25992</v>
      </c>
    </row>
    <row r="880" spans="4:4">
      <c r="D880">
        <v>26023</v>
      </c>
    </row>
    <row r="881" spans="4:4">
      <c r="D881">
        <v>26053</v>
      </c>
    </row>
    <row r="882" spans="4:4">
      <c r="D882">
        <v>26084</v>
      </c>
    </row>
    <row r="883" spans="4:4">
      <c r="D883">
        <v>26114</v>
      </c>
    </row>
    <row r="884" spans="4:4">
      <c r="D884">
        <v>26145</v>
      </c>
    </row>
    <row r="885" spans="4:4">
      <c r="D885">
        <v>26176</v>
      </c>
    </row>
    <row r="886" spans="4:4">
      <c r="D886">
        <v>26206</v>
      </c>
    </row>
    <row r="887" spans="4:4">
      <c r="D887">
        <v>26237</v>
      </c>
    </row>
    <row r="888" spans="4:4">
      <c r="D888">
        <v>26267</v>
      </c>
    </row>
    <row r="889" spans="4:4">
      <c r="D889">
        <v>26298</v>
      </c>
    </row>
    <row r="890" spans="4:4">
      <c r="D890">
        <v>26329</v>
      </c>
    </row>
    <row r="891" spans="4:4">
      <c r="D891">
        <v>26357</v>
      </c>
    </row>
    <row r="892" spans="4:4">
      <c r="D892">
        <v>26388</v>
      </c>
    </row>
    <row r="893" spans="4:4">
      <c r="D893">
        <v>26418</v>
      </c>
    </row>
    <row r="894" spans="4:4">
      <c r="D894">
        <v>26449</v>
      </c>
    </row>
    <row r="895" spans="4:4">
      <c r="D895">
        <v>26479</v>
      </c>
    </row>
    <row r="896" spans="4:4">
      <c r="D896">
        <v>26510</v>
      </c>
    </row>
    <row r="897" spans="4:4">
      <c r="D897">
        <v>26541</v>
      </c>
    </row>
    <row r="898" spans="4:4">
      <c r="D898">
        <v>26571</v>
      </c>
    </row>
    <row r="899" spans="4:4">
      <c r="D899">
        <v>26602</v>
      </c>
    </row>
    <row r="900" spans="4:4">
      <c r="D900">
        <v>26632</v>
      </c>
    </row>
    <row r="901" spans="4:4">
      <c r="D901">
        <v>26663</v>
      </c>
    </row>
    <row r="902" spans="4:4">
      <c r="D902">
        <v>26694</v>
      </c>
    </row>
    <row r="903" spans="4:4">
      <c r="D903">
        <v>26722</v>
      </c>
    </row>
    <row r="904" spans="4:4">
      <c r="D904">
        <v>26753</v>
      </c>
    </row>
    <row r="905" spans="4:4">
      <c r="D905">
        <v>26783</v>
      </c>
    </row>
    <row r="906" spans="4:4">
      <c r="D906">
        <v>26814</v>
      </c>
    </row>
    <row r="907" spans="4:4">
      <c r="D907">
        <v>26844</v>
      </c>
    </row>
    <row r="908" spans="4:4">
      <c r="D908">
        <v>26875</v>
      </c>
    </row>
    <row r="909" spans="4:4">
      <c r="D909">
        <v>26906</v>
      </c>
    </row>
    <row r="910" spans="4:4">
      <c r="D910">
        <v>26936</v>
      </c>
    </row>
    <row r="911" spans="4:4">
      <c r="D911">
        <v>26967</v>
      </c>
    </row>
    <row r="912" spans="4:4">
      <c r="D912">
        <v>26997</v>
      </c>
    </row>
    <row r="913" spans="4:4">
      <c r="D913">
        <v>27028</v>
      </c>
    </row>
    <row r="914" spans="4:4">
      <c r="D914">
        <v>27059</v>
      </c>
    </row>
    <row r="915" spans="4:4">
      <c r="D915">
        <v>27087</v>
      </c>
    </row>
    <row r="916" spans="4:4">
      <c r="D916">
        <v>27118</v>
      </c>
    </row>
    <row r="917" spans="4:4">
      <c r="D917">
        <v>27148</v>
      </c>
    </row>
    <row r="918" spans="4:4">
      <c r="D918">
        <v>27179</v>
      </c>
    </row>
    <row r="919" spans="4:4">
      <c r="D919">
        <v>27209</v>
      </c>
    </row>
    <row r="920" spans="4:4">
      <c r="D920">
        <v>27240</v>
      </c>
    </row>
    <row r="921" spans="4:4">
      <c r="D921">
        <v>27271</v>
      </c>
    </row>
    <row r="922" spans="4:4">
      <c r="D922">
        <v>27301</v>
      </c>
    </row>
    <row r="923" spans="4:4">
      <c r="D923">
        <v>27332</v>
      </c>
    </row>
    <row r="924" spans="4:4">
      <c r="D924">
        <v>27362</v>
      </c>
    </row>
    <row r="925" spans="4:4">
      <c r="D925">
        <v>27393</v>
      </c>
    </row>
    <row r="926" spans="4:4">
      <c r="D926">
        <v>27424</v>
      </c>
    </row>
    <row r="927" spans="4:4">
      <c r="D927">
        <v>27453</v>
      </c>
    </row>
    <row r="928" spans="4:4">
      <c r="D928">
        <v>27484</v>
      </c>
    </row>
    <row r="929" spans="4:4">
      <c r="D929">
        <v>27514</v>
      </c>
    </row>
    <row r="930" spans="4:4">
      <c r="D930">
        <v>27545</v>
      </c>
    </row>
    <row r="931" spans="4:4">
      <c r="D931">
        <v>27575</v>
      </c>
    </row>
    <row r="932" spans="4:4">
      <c r="D932">
        <v>27606</v>
      </c>
    </row>
    <row r="933" spans="4:4">
      <c r="D933">
        <v>27637</v>
      </c>
    </row>
    <row r="934" spans="4:4">
      <c r="D934">
        <v>27667</v>
      </c>
    </row>
    <row r="935" spans="4:4">
      <c r="D935">
        <v>27698</v>
      </c>
    </row>
    <row r="936" spans="4:4">
      <c r="D936">
        <v>27728</v>
      </c>
    </row>
    <row r="937" spans="4:4">
      <c r="D937">
        <v>27759</v>
      </c>
    </row>
    <row r="938" spans="4:4">
      <c r="D938">
        <v>27790</v>
      </c>
    </row>
    <row r="939" spans="4:4">
      <c r="D939">
        <v>27818</v>
      </c>
    </row>
    <row r="940" spans="4:4">
      <c r="D940">
        <v>27849</v>
      </c>
    </row>
    <row r="941" spans="4:4">
      <c r="D941">
        <v>27879</v>
      </c>
    </row>
    <row r="942" spans="4:4">
      <c r="D942">
        <v>27910</v>
      </c>
    </row>
    <row r="943" spans="4:4">
      <c r="D943">
        <v>27940</v>
      </c>
    </row>
    <row r="944" spans="4:4">
      <c r="D944">
        <v>27971</v>
      </c>
    </row>
    <row r="945" spans="4:4">
      <c r="D945">
        <v>28002</v>
      </c>
    </row>
    <row r="946" spans="4:4">
      <c r="D946">
        <v>28032</v>
      </c>
    </row>
    <row r="947" spans="4:4">
      <c r="D947">
        <v>28063</v>
      </c>
    </row>
    <row r="948" spans="4:4">
      <c r="D948">
        <v>28093</v>
      </c>
    </row>
    <row r="949" spans="4:4">
      <c r="D949">
        <v>28124</v>
      </c>
    </row>
    <row r="950" spans="4:4">
      <c r="D950">
        <v>28155</v>
      </c>
    </row>
    <row r="951" spans="4:4">
      <c r="D951">
        <v>28183</v>
      </c>
    </row>
    <row r="952" spans="4:4">
      <c r="D952">
        <v>28214</v>
      </c>
    </row>
    <row r="953" spans="4:4">
      <c r="D953">
        <v>28244</v>
      </c>
    </row>
    <row r="954" spans="4:4">
      <c r="D954">
        <v>28275</v>
      </c>
    </row>
    <row r="955" spans="4:4">
      <c r="D955">
        <v>28305</v>
      </c>
    </row>
    <row r="956" spans="4:4">
      <c r="D956">
        <v>28336</v>
      </c>
    </row>
    <row r="957" spans="4:4">
      <c r="D957">
        <v>28367</v>
      </c>
    </row>
    <row r="958" spans="4:4">
      <c r="D958">
        <v>28397</v>
      </c>
    </row>
    <row r="959" spans="4:4">
      <c r="D959">
        <v>28428</v>
      </c>
    </row>
    <row r="960" spans="4:4">
      <c r="D960">
        <v>28458</v>
      </c>
    </row>
    <row r="961" spans="4:4">
      <c r="D961">
        <v>28489</v>
      </c>
    </row>
    <row r="962" spans="4:4">
      <c r="D962">
        <v>28520</v>
      </c>
    </row>
    <row r="963" spans="4:4">
      <c r="D963">
        <v>28548</v>
      </c>
    </row>
    <row r="964" spans="4:4">
      <c r="D964">
        <v>28579</v>
      </c>
    </row>
    <row r="965" spans="4:4">
      <c r="D965">
        <v>28609</v>
      </c>
    </row>
    <row r="966" spans="4:4">
      <c r="D966">
        <v>28640</v>
      </c>
    </row>
    <row r="967" spans="4:4">
      <c r="D967">
        <v>28670</v>
      </c>
    </row>
    <row r="968" spans="4:4">
      <c r="D968">
        <v>28701</v>
      </c>
    </row>
    <row r="969" spans="4:4">
      <c r="D969">
        <v>28732</v>
      </c>
    </row>
    <row r="970" spans="4:4">
      <c r="D970">
        <v>28762</v>
      </c>
    </row>
    <row r="971" spans="4:4">
      <c r="D971">
        <v>28793</v>
      </c>
    </row>
    <row r="972" spans="4:4">
      <c r="D972">
        <v>28823</v>
      </c>
    </row>
    <row r="973" spans="4:4">
      <c r="D973">
        <v>28854</v>
      </c>
    </row>
    <row r="974" spans="4:4">
      <c r="D974">
        <v>28885</v>
      </c>
    </row>
    <row r="975" spans="4:4">
      <c r="D975">
        <v>28914</v>
      </c>
    </row>
    <row r="976" spans="4:4">
      <c r="D976">
        <v>28945</v>
      </c>
    </row>
    <row r="977" spans="4:4">
      <c r="D977">
        <v>28975</v>
      </c>
    </row>
    <row r="978" spans="4:4">
      <c r="D978">
        <v>29006</v>
      </c>
    </row>
    <row r="979" spans="4:4">
      <c r="D979">
        <v>29036</v>
      </c>
    </row>
    <row r="980" spans="4:4">
      <c r="D980">
        <v>29067</v>
      </c>
    </row>
    <row r="981" spans="4:4">
      <c r="D981">
        <v>29098</v>
      </c>
    </row>
    <row r="982" spans="4:4">
      <c r="D982">
        <v>29128</v>
      </c>
    </row>
    <row r="983" spans="4:4">
      <c r="D983">
        <v>29159</v>
      </c>
    </row>
    <row r="984" spans="4:4">
      <c r="D984">
        <v>29189</v>
      </c>
    </row>
    <row r="985" spans="4:4">
      <c r="D985">
        <v>29220</v>
      </c>
    </row>
    <row r="986" spans="4:4">
      <c r="D986">
        <v>29251</v>
      </c>
    </row>
    <row r="987" spans="4:4">
      <c r="D987">
        <v>29279</v>
      </c>
    </row>
    <row r="988" spans="4:4">
      <c r="D988">
        <v>29310</v>
      </c>
    </row>
    <row r="989" spans="4:4">
      <c r="D989">
        <v>29340</v>
      </c>
    </row>
    <row r="990" spans="4:4">
      <c r="D990">
        <v>29371</v>
      </c>
    </row>
    <row r="991" spans="4:4">
      <c r="D991">
        <v>29401</v>
      </c>
    </row>
    <row r="992" spans="4:4">
      <c r="D992">
        <v>29432</v>
      </c>
    </row>
    <row r="993" spans="4:4">
      <c r="D993">
        <v>29463</v>
      </c>
    </row>
    <row r="994" spans="4:4">
      <c r="D994">
        <v>29493</v>
      </c>
    </row>
    <row r="995" spans="4:4">
      <c r="D995">
        <v>29524</v>
      </c>
    </row>
    <row r="996" spans="4:4">
      <c r="D996">
        <v>29554</v>
      </c>
    </row>
    <row r="997" spans="4:4">
      <c r="D997">
        <v>29585</v>
      </c>
    </row>
    <row r="998" spans="4:4">
      <c r="D998">
        <v>29616</v>
      </c>
    </row>
    <row r="999" spans="4:4">
      <c r="D999">
        <v>29644</v>
      </c>
    </row>
    <row r="1000" spans="4:4">
      <c r="D1000">
        <v>29675</v>
      </c>
    </row>
    <row r="1001" spans="4:4">
      <c r="D1001">
        <v>29705</v>
      </c>
    </row>
    <row r="1002" spans="4:4">
      <c r="D1002">
        <v>29736</v>
      </c>
    </row>
    <row r="1003" spans="4:4">
      <c r="D1003">
        <v>29766</v>
      </c>
    </row>
    <row r="1004" spans="4:4">
      <c r="D1004">
        <v>29797</v>
      </c>
    </row>
    <row r="1005" spans="4:4">
      <c r="D1005">
        <v>29828</v>
      </c>
    </row>
    <row r="1006" spans="4:4">
      <c r="D1006">
        <v>29858</v>
      </c>
    </row>
    <row r="1007" spans="4:4">
      <c r="D1007">
        <v>29889</v>
      </c>
    </row>
    <row r="1008" spans="4:4">
      <c r="D1008">
        <v>29919</v>
      </c>
    </row>
    <row r="1009" spans="4:4">
      <c r="D1009">
        <v>29950</v>
      </c>
    </row>
    <row r="1010" spans="4:4">
      <c r="D1010">
        <v>29981</v>
      </c>
    </row>
    <row r="1011" spans="4:4">
      <c r="D1011">
        <v>30009</v>
      </c>
    </row>
    <row r="1012" spans="4:4">
      <c r="D1012">
        <v>30040</v>
      </c>
    </row>
    <row r="1013" spans="4:4">
      <c r="D1013">
        <v>30070</v>
      </c>
    </row>
    <row r="1014" spans="4:4">
      <c r="D1014">
        <v>30101</v>
      </c>
    </row>
    <row r="1015" spans="4:4">
      <c r="D1015">
        <v>30131</v>
      </c>
    </row>
    <row r="1016" spans="4:4">
      <c r="D1016">
        <v>30162</v>
      </c>
    </row>
    <row r="1017" spans="4:4">
      <c r="D1017">
        <v>30193</v>
      </c>
    </row>
    <row r="1018" spans="4:4">
      <c r="D1018">
        <v>30223</v>
      </c>
    </row>
    <row r="1019" spans="4:4">
      <c r="D1019">
        <v>30254</v>
      </c>
    </row>
    <row r="1020" spans="4:4">
      <c r="D1020">
        <v>30284</v>
      </c>
    </row>
    <row r="1021" spans="4:4">
      <c r="D1021">
        <v>30315</v>
      </c>
    </row>
    <row r="1022" spans="4:4">
      <c r="D1022">
        <v>30346</v>
      </c>
    </row>
    <row r="1023" spans="4:4">
      <c r="D1023">
        <v>30375</v>
      </c>
    </row>
    <row r="1024" spans="4:4">
      <c r="D1024">
        <v>30406</v>
      </c>
    </row>
    <row r="1025" spans="4:4">
      <c r="D1025">
        <v>30436</v>
      </c>
    </row>
    <row r="1026" spans="4:4">
      <c r="D1026">
        <v>30467</v>
      </c>
    </row>
    <row r="1027" spans="4:4">
      <c r="D1027">
        <v>30497</v>
      </c>
    </row>
    <row r="1028" spans="4:4">
      <c r="D1028">
        <v>30528</v>
      </c>
    </row>
    <row r="1029" spans="4:4">
      <c r="D1029">
        <v>30559</v>
      </c>
    </row>
    <row r="1030" spans="4:4">
      <c r="D1030">
        <v>30589</v>
      </c>
    </row>
    <row r="1031" spans="4:4">
      <c r="D1031">
        <v>30620</v>
      </c>
    </row>
    <row r="1032" spans="4:4">
      <c r="D1032">
        <v>30650</v>
      </c>
    </row>
    <row r="1033" spans="4:4">
      <c r="D1033">
        <v>30681</v>
      </c>
    </row>
    <row r="1034" spans="4:4">
      <c r="D1034">
        <v>30712</v>
      </c>
    </row>
    <row r="1035" spans="4:4">
      <c r="D1035">
        <v>30740</v>
      </c>
    </row>
    <row r="1036" spans="4:4">
      <c r="D1036">
        <v>30771</v>
      </c>
    </row>
    <row r="1037" spans="4:4">
      <c r="D1037">
        <v>30801</v>
      </c>
    </row>
    <row r="1038" spans="4:4">
      <c r="D1038">
        <v>30832</v>
      </c>
    </row>
    <row r="1039" spans="4:4">
      <c r="D1039">
        <v>30862</v>
      </c>
    </row>
    <row r="1040" spans="4:4">
      <c r="D1040">
        <v>30893</v>
      </c>
    </row>
    <row r="1041" spans="4:4">
      <c r="D1041">
        <v>30924</v>
      </c>
    </row>
    <row r="1042" spans="4:4">
      <c r="D1042">
        <v>30954</v>
      </c>
    </row>
    <row r="1043" spans="4:4">
      <c r="D1043">
        <v>30985</v>
      </c>
    </row>
    <row r="1044" spans="4:4">
      <c r="D1044">
        <v>31015</v>
      </c>
    </row>
    <row r="1045" spans="4:4">
      <c r="D1045">
        <v>31046</v>
      </c>
    </row>
    <row r="1046" spans="4:4">
      <c r="D1046">
        <v>31077</v>
      </c>
    </row>
    <row r="1047" spans="4:4">
      <c r="D1047">
        <v>31105</v>
      </c>
    </row>
    <row r="1048" spans="4:4">
      <c r="D1048">
        <v>31136</v>
      </c>
    </row>
    <row r="1049" spans="4:4">
      <c r="D1049">
        <v>31166</v>
      </c>
    </row>
    <row r="1050" spans="4:4">
      <c r="D1050">
        <v>31197</v>
      </c>
    </row>
    <row r="1051" spans="4:4">
      <c r="D1051">
        <v>31227</v>
      </c>
    </row>
    <row r="1052" spans="4:4">
      <c r="D1052">
        <v>31258</v>
      </c>
    </row>
    <row r="1053" spans="4:4">
      <c r="D1053">
        <v>31289</v>
      </c>
    </row>
    <row r="1054" spans="4:4">
      <c r="D1054">
        <v>31319</v>
      </c>
    </row>
    <row r="1055" spans="4:4">
      <c r="D1055">
        <v>31350</v>
      </c>
    </row>
    <row r="1056" spans="4:4">
      <c r="D1056">
        <v>31380</v>
      </c>
    </row>
    <row r="1057" spans="4:4">
      <c r="D1057">
        <v>31411</v>
      </c>
    </row>
    <row r="1058" spans="4:4">
      <c r="D1058">
        <v>31442</v>
      </c>
    </row>
    <row r="1059" spans="4:4">
      <c r="D1059">
        <v>31470</v>
      </c>
    </row>
    <row r="1060" spans="4:4">
      <c r="D1060">
        <v>31501</v>
      </c>
    </row>
    <row r="1061" spans="4:4">
      <c r="D1061">
        <v>31531</v>
      </c>
    </row>
    <row r="1062" spans="4:4">
      <c r="D1062">
        <v>31562</v>
      </c>
    </row>
    <row r="1063" spans="4:4">
      <c r="D1063">
        <v>31592</v>
      </c>
    </row>
    <row r="1064" spans="4:4">
      <c r="D1064">
        <v>31623</v>
      </c>
    </row>
    <row r="1065" spans="4:4">
      <c r="D1065">
        <v>31654</v>
      </c>
    </row>
    <row r="1066" spans="4:4">
      <c r="D1066">
        <v>31684</v>
      </c>
    </row>
    <row r="1067" spans="4:4">
      <c r="D1067">
        <v>31715</v>
      </c>
    </row>
    <row r="1068" spans="4:4">
      <c r="D1068">
        <v>31745</v>
      </c>
    </row>
    <row r="1069" spans="4:4">
      <c r="D1069">
        <v>31776</v>
      </c>
    </row>
    <row r="1070" spans="4:4">
      <c r="D1070">
        <v>31807</v>
      </c>
    </row>
    <row r="1071" spans="4:4">
      <c r="D1071">
        <v>31836</v>
      </c>
    </row>
    <row r="1072" spans="4:4">
      <c r="D1072">
        <v>31867</v>
      </c>
    </row>
    <row r="1073" spans="4:4">
      <c r="D1073">
        <v>31897</v>
      </c>
    </row>
    <row r="1074" spans="4:4">
      <c r="D1074">
        <v>31928</v>
      </c>
    </row>
    <row r="1075" spans="4:4">
      <c r="D1075">
        <v>31958</v>
      </c>
    </row>
    <row r="1076" spans="4:4">
      <c r="D1076">
        <v>31989</v>
      </c>
    </row>
    <row r="1077" spans="4:4">
      <c r="D1077">
        <v>32020</v>
      </c>
    </row>
    <row r="1078" spans="4:4">
      <c r="D1078">
        <v>32050</v>
      </c>
    </row>
    <row r="1079" spans="4:4">
      <c r="D1079">
        <v>32081</v>
      </c>
    </row>
    <row r="1080" spans="4:4">
      <c r="D1080">
        <v>32111</v>
      </c>
    </row>
    <row r="1081" spans="4:4">
      <c r="D1081">
        <v>32142</v>
      </c>
    </row>
    <row r="1082" spans="4:4">
      <c r="D1082">
        <v>32173</v>
      </c>
    </row>
    <row r="1083" spans="4:4">
      <c r="D1083">
        <v>32201</v>
      </c>
    </row>
    <row r="1084" spans="4:4">
      <c r="D1084">
        <v>32232</v>
      </c>
    </row>
    <row r="1085" spans="4:4">
      <c r="D1085">
        <v>32262</v>
      </c>
    </row>
    <row r="1086" spans="4:4">
      <c r="D1086">
        <v>32293</v>
      </c>
    </row>
    <row r="1087" spans="4:4">
      <c r="D1087">
        <v>32323</v>
      </c>
    </row>
    <row r="1088" spans="4:4">
      <c r="D1088">
        <v>32354</v>
      </c>
    </row>
    <row r="1089" spans="4:4">
      <c r="D1089">
        <v>32385</v>
      </c>
    </row>
    <row r="1090" spans="4:4">
      <c r="D1090">
        <v>32415</v>
      </c>
    </row>
    <row r="1091" spans="4:4">
      <c r="D1091">
        <v>32446</v>
      </c>
    </row>
    <row r="1092" spans="4:4">
      <c r="D1092">
        <v>32476</v>
      </c>
    </row>
    <row r="1093" spans="4:4">
      <c r="D1093">
        <v>32507</v>
      </c>
    </row>
    <row r="1094" spans="4:4">
      <c r="D1094">
        <v>32538</v>
      </c>
    </row>
    <row r="1095" spans="4:4">
      <c r="D1095">
        <v>32566</v>
      </c>
    </row>
    <row r="1096" spans="4:4">
      <c r="D1096">
        <v>32597</v>
      </c>
    </row>
    <row r="1097" spans="4:4">
      <c r="D1097">
        <v>32627</v>
      </c>
    </row>
    <row r="1098" spans="4:4">
      <c r="D1098">
        <v>32658</v>
      </c>
    </row>
    <row r="1099" spans="4:4">
      <c r="D1099">
        <v>32688</v>
      </c>
    </row>
    <row r="1100" spans="4:4">
      <c r="D1100">
        <v>32719</v>
      </c>
    </row>
    <row r="1101" spans="4:4">
      <c r="D1101">
        <v>32750</v>
      </c>
    </row>
    <row r="1102" spans="4:4">
      <c r="D1102">
        <v>32780</v>
      </c>
    </row>
    <row r="1103" spans="4:4">
      <c r="D1103">
        <v>32811</v>
      </c>
    </row>
    <row r="1104" spans="4:4">
      <c r="D1104">
        <v>32841</v>
      </c>
    </row>
    <row r="1105" spans="4:4">
      <c r="D1105">
        <v>32872</v>
      </c>
    </row>
    <row r="1106" spans="4:4">
      <c r="D1106">
        <v>32903</v>
      </c>
    </row>
    <row r="1107" spans="4:4">
      <c r="D1107">
        <v>32931</v>
      </c>
    </row>
    <row r="1108" spans="4:4">
      <c r="D1108">
        <v>32962</v>
      </c>
    </row>
    <row r="1109" spans="4:4">
      <c r="D1109">
        <v>32992</v>
      </c>
    </row>
    <row r="1110" spans="4:4">
      <c r="D1110">
        <v>33023</v>
      </c>
    </row>
    <row r="1111" spans="4:4">
      <c r="D1111">
        <v>33053</v>
      </c>
    </row>
    <row r="1112" spans="4:4">
      <c r="D1112">
        <v>33084</v>
      </c>
    </row>
    <row r="1113" spans="4:4">
      <c r="D1113">
        <v>33115</v>
      </c>
    </row>
    <row r="1114" spans="4:4">
      <c r="D1114">
        <v>33145</v>
      </c>
    </row>
    <row r="1115" spans="4:4">
      <c r="D1115">
        <v>33176</v>
      </c>
    </row>
    <row r="1116" spans="4:4">
      <c r="D1116">
        <v>33206</v>
      </c>
    </row>
    <row r="1117" spans="4:4">
      <c r="D1117">
        <v>33237</v>
      </c>
    </row>
    <row r="1118" spans="4:4">
      <c r="D1118">
        <v>33268</v>
      </c>
    </row>
    <row r="1119" spans="4:4">
      <c r="D1119">
        <v>33296</v>
      </c>
    </row>
    <row r="1120" spans="4:4">
      <c r="D1120">
        <v>33327</v>
      </c>
    </row>
    <row r="1121" spans="4:4">
      <c r="D1121">
        <v>33357</v>
      </c>
    </row>
    <row r="1122" spans="4:4">
      <c r="D1122">
        <v>33388</v>
      </c>
    </row>
    <row r="1123" spans="4:4">
      <c r="D1123">
        <v>33418</v>
      </c>
    </row>
    <row r="1124" spans="4:4">
      <c r="D1124">
        <v>33449</v>
      </c>
    </row>
    <row r="1125" spans="4:4">
      <c r="D1125">
        <v>33480</v>
      </c>
    </row>
    <row r="1126" spans="4:4">
      <c r="D1126">
        <v>33510</v>
      </c>
    </row>
    <row r="1127" spans="4:4">
      <c r="D1127">
        <v>33541</v>
      </c>
    </row>
    <row r="1128" spans="4:4">
      <c r="D1128">
        <v>33571</v>
      </c>
    </row>
    <row r="1129" spans="4:4">
      <c r="D1129">
        <v>33602</v>
      </c>
    </row>
    <row r="1130" spans="4:4">
      <c r="D1130">
        <v>33633</v>
      </c>
    </row>
    <row r="1131" spans="4:4">
      <c r="D1131">
        <v>33661</v>
      </c>
    </row>
    <row r="1132" spans="4:4">
      <c r="D1132">
        <v>33692</v>
      </c>
    </row>
    <row r="1133" spans="4:4">
      <c r="D1133">
        <v>33722</v>
      </c>
    </row>
    <row r="1134" spans="4:4">
      <c r="D1134">
        <v>33753</v>
      </c>
    </row>
    <row r="1135" spans="4:4">
      <c r="D1135">
        <v>33783</v>
      </c>
    </row>
    <row r="1136" spans="4:4">
      <c r="D1136">
        <v>33813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B4:H69"/>
  <sheetViews>
    <sheetView topLeftCell="A2" zoomScale="62" zoomScaleNormal="62" workbookViewId="0">
      <selection activeCell="M15" sqref="M15"/>
    </sheetView>
  </sheetViews>
  <sheetFormatPr defaultRowHeight="14.4"/>
  <cols>
    <col min="2" max="2" width="20.77734375" bestFit="1" customWidth="1"/>
    <col min="4" max="4" width="9.5546875" bestFit="1" customWidth="1"/>
  </cols>
  <sheetData>
    <row r="4" spans="2:8">
      <c r="B4" t="s">
        <v>16</v>
      </c>
      <c r="C4" t="s">
        <v>15</v>
      </c>
      <c r="D4" s="4">
        <v>900</v>
      </c>
      <c r="E4" s="4">
        <v>660</v>
      </c>
      <c r="F4" s="4">
        <v>530</v>
      </c>
      <c r="G4" s="4">
        <v>400</v>
      </c>
      <c r="H4" s="4">
        <v>900</v>
      </c>
    </row>
    <row r="5" spans="2:8">
      <c r="B5" t="s">
        <v>17</v>
      </c>
      <c r="C5" t="s">
        <v>15</v>
      </c>
      <c r="D5" s="4">
        <f t="shared" ref="D5:H6" si="0">5280/4</f>
        <v>1320</v>
      </c>
      <c r="E5" s="4">
        <f t="shared" si="0"/>
        <v>1320</v>
      </c>
      <c r="F5" s="4">
        <f t="shared" si="0"/>
        <v>1320</v>
      </c>
      <c r="G5" s="4">
        <f t="shared" si="0"/>
        <v>1320</v>
      </c>
      <c r="H5" s="4">
        <f t="shared" si="0"/>
        <v>1320</v>
      </c>
    </row>
    <row r="6" spans="2:8">
      <c r="B6" t="s">
        <v>18</v>
      </c>
      <c r="C6" t="s">
        <v>15</v>
      </c>
      <c r="D6" s="4">
        <f t="shared" si="0"/>
        <v>1320</v>
      </c>
      <c r="E6" s="4">
        <f t="shared" si="0"/>
        <v>1320</v>
      </c>
      <c r="F6" s="4">
        <f t="shared" si="0"/>
        <v>1320</v>
      </c>
      <c r="G6" s="4">
        <f t="shared" si="0"/>
        <v>1320</v>
      </c>
      <c r="H6" s="4">
        <f t="shared" si="0"/>
        <v>1320</v>
      </c>
    </row>
    <row r="7" spans="2:8">
      <c r="B7" t="s">
        <v>19</v>
      </c>
      <c r="C7" t="s">
        <v>15</v>
      </c>
      <c r="D7" s="4">
        <f t="shared" ref="D7:H8" si="1">D5/3</f>
        <v>440</v>
      </c>
      <c r="E7" s="4">
        <f t="shared" si="1"/>
        <v>440</v>
      </c>
      <c r="F7" s="4">
        <f t="shared" si="1"/>
        <v>440</v>
      </c>
      <c r="G7" s="4">
        <f t="shared" si="1"/>
        <v>440</v>
      </c>
      <c r="H7" s="4">
        <f t="shared" si="1"/>
        <v>440</v>
      </c>
    </row>
    <row r="8" spans="2:8">
      <c r="B8" t="s">
        <v>20</v>
      </c>
      <c r="C8" t="s">
        <v>15</v>
      </c>
      <c r="D8" s="4">
        <f t="shared" si="1"/>
        <v>440</v>
      </c>
      <c r="E8" s="4">
        <f t="shared" si="1"/>
        <v>440</v>
      </c>
      <c r="F8" s="4">
        <f t="shared" si="1"/>
        <v>440</v>
      </c>
      <c r="G8" s="4">
        <f t="shared" si="1"/>
        <v>440</v>
      </c>
      <c r="H8" s="4">
        <f t="shared" si="1"/>
        <v>440</v>
      </c>
    </row>
    <row r="9" spans="2:8">
      <c r="B9" t="s">
        <v>50</v>
      </c>
      <c r="D9" s="5">
        <v>1.5</v>
      </c>
      <c r="E9" s="5">
        <v>2</v>
      </c>
      <c r="F9" s="5">
        <v>2.5</v>
      </c>
      <c r="G9" s="5">
        <v>3</v>
      </c>
      <c r="H9" s="5">
        <f t="shared" ref="D9:H12" si="2">H5/H$4</f>
        <v>1.4666666666666666</v>
      </c>
    </row>
    <row r="10" spans="2:8">
      <c r="B10" t="s">
        <v>51</v>
      </c>
      <c r="D10" s="5">
        <f t="shared" si="2"/>
        <v>1.4666666666666666</v>
      </c>
      <c r="E10" s="5">
        <f t="shared" si="2"/>
        <v>2</v>
      </c>
      <c r="F10" s="5">
        <f t="shared" si="2"/>
        <v>2.4905660377358489</v>
      </c>
      <c r="G10" s="5">
        <f t="shared" si="2"/>
        <v>3.3</v>
      </c>
      <c r="H10" s="5">
        <f t="shared" si="2"/>
        <v>1.4666666666666666</v>
      </c>
    </row>
    <row r="11" spans="2:8">
      <c r="B11" t="s">
        <v>52</v>
      </c>
      <c r="D11" s="5">
        <f t="shared" si="2"/>
        <v>0.48888888888888887</v>
      </c>
      <c r="E11" s="5">
        <f t="shared" si="2"/>
        <v>0.66666666666666663</v>
      </c>
      <c r="F11" s="5">
        <f t="shared" si="2"/>
        <v>0.83018867924528306</v>
      </c>
      <c r="G11" s="5">
        <f t="shared" si="2"/>
        <v>1.1000000000000001</v>
      </c>
      <c r="H11" s="5">
        <f t="shared" si="2"/>
        <v>0.48888888888888887</v>
      </c>
    </row>
    <row r="12" spans="2:8">
      <c r="B12" t="s">
        <v>53</v>
      </c>
      <c r="D12" s="5">
        <f t="shared" si="2"/>
        <v>0.48888888888888887</v>
      </c>
      <c r="E12" s="5">
        <f t="shared" si="2"/>
        <v>0.66666666666666663</v>
      </c>
      <c r="F12" s="5">
        <f t="shared" si="2"/>
        <v>0.83018867924528306</v>
      </c>
      <c r="G12" s="5">
        <f t="shared" si="2"/>
        <v>1.1000000000000001</v>
      </c>
      <c r="H12" s="5">
        <f t="shared" si="2"/>
        <v>0.48888888888888887</v>
      </c>
    </row>
    <row r="24" spans="2:7">
      <c r="B24" s="3">
        <v>0.04</v>
      </c>
    </row>
    <row r="25" spans="2:7" ht="28.8">
      <c r="B25" s="6" t="s">
        <v>27</v>
      </c>
      <c r="C25" t="s">
        <v>49</v>
      </c>
      <c r="D25" t="s">
        <v>54</v>
      </c>
      <c r="E25" t="s">
        <v>54</v>
      </c>
      <c r="F25" t="s">
        <v>54</v>
      </c>
      <c r="G25" t="s">
        <v>54</v>
      </c>
    </row>
    <row r="26" spans="2:7">
      <c r="B26" s="4">
        <v>-1E-4</v>
      </c>
      <c r="C26">
        <f>10^B26</f>
        <v>0.99976976799815664</v>
      </c>
      <c r="D26">
        <f>CumDFracNFB($C26, D$9 )</f>
        <v>0.62487492797599997</v>
      </c>
      <c r="E26">
        <f>CumDFracNFB($C26, E$9 )</f>
        <v>1.295018677229</v>
      </c>
      <c r="F26">
        <f>CumDFracNFB($C26, F$9 )</f>
        <v>1.52437491143</v>
      </c>
      <c r="G26">
        <f>CumDFracNFB($C26, G$9 )</f>
        <v>1.563378859283</v>
      </c>
    </row>
    <row r="27" spans="2:7">
      <c r="B27" s="3">
        <f>B26+$B$24</f>
        <v>3.9899999999999998E-2</v>
      </c>
      <c r="C27">
        <f t="shared" ref="C27:C61" si="3">10^B27</f>
        <v>1.0962257517731093</v>
      </c>
      <c r="D27">
        <f t="shared" ref="D27:G61" si="4">CumDFracNFB($C27, D$9 )</f>
        <v>0.62494411237000003</v>
      </c>
      <c r="E27">
        <f t="shared" si="4"/>
        <v>1.328546881886</v>
      </c>
      <c r="F27">
        <f t="shared" si="4"/>
        <v>1.60119582979</v>
      </c>
      <c r="G27">
        <f t="shared" si="4"/>
        <v>1.6540008518230001</v>
      </c>
    </row>
    <row r="28" spans="2:7">
      <c r="B28" s="3">
        <f t="shared" ref="B28:B61" si="5">B27+$B$24</f>
        <v>7.9899999999999999E-2</v>
      </c>
      <c r="C28">
        <f t="shared" si="3"/>
        <v>1.2019876348698859</v>
      </c>
      <c r="D28">
        <f t="shared" si="4"/>
        <v>0.62497689431600001</v>
      </c>
      <c r="E28">
        <f t="shared" si="4"/>
        <v>1.359041010945</v>
      </c>
      <c r="F28">
        <f t="shared" si="4"/>
        <v>1.6792761435979999</v>
      </c>
      <c r="G28">
        <f t="shared" si="4"/>
        <v>1.7493515053569999</v>
      </c>
    </row>
    <row r="29" spans="2:7">
      <c r="B29" s="3">
        <f t="shared" si="5"/>
        <v>0.11990000000000001</v>
      </c>
      <c r="C29">
        <f t="shared" si="3"/>
        <v>1.3179532336685458</v>
      </c>
      <c r="D29">
        <f t="shared" si="4"/>
        <v>0.62499122770500004</v>
      </c>
      <c r="E29">
        <f t="shared" si="4"/>
        <v>1.3862806306869999</v>
      </c>
      <c r="F29">
        <f t="shared" si="4"/>
        <v>1.758060838427</v>
      </c>
      <c r="G29">
        <f t="shared" si="4"/>
        <v>1.8493535162670001</v>
      </c>
    </row>
    <row r="30" spans="2:7">
      <c r="B30" s="3">
        <f t="shared" si="5"/>
        <v>0.15990000000000001</v>
      </c>
      <c r="C30">
        <f t="shared" si="3"/>
        <v>1.4451069842539648</v>
      </c>
      <c r="D30">
        <f t="shared" si="4"/>
        <v>0.62499696660899995</v>
      </c>
      <c r="E30">
        <f t="shared" si="4"/>
        <v>1.410137455296</v>
      </c>
      <c r="F30">
        <f t="shared" si="4"/>
        <v>1.836922925351</v>
      </c>
      <c r="G30">
        <f t="shared" si="4"/>
        <v>1.953839306046</v>
      </c>
    </row>
    <row r="31" spans="2:7">
      <c r="B31" s="3">
        <f t="shared" si="5"/>
        <v>0.19990000000000002</v>
      </c>
      <c r="C31">
        <f t="shared" si="3"/>
        <v>1.5845282993287053</v>
      </c>
      <c r="D31">
        <f t="shared" si="4"/>
        <v>0.62499905322000004</v>
      </c>
      <c r="E31">
        <f t="shared" si="4"/>
        <v>1.430584327646</v>
      </c>
      <c r="F31">
        <f t="shared" si="4"/>
        <v>1.915172568866</v>
      </c>
      <c r="G31">
        <f t="shared" si="4"/>
        <v>2.0625408903519999</v>
      </c>
    </row>
    <row r="32" spans="2:7">
      <c r="B32" s="3">
        <f t="shared" si="5"/>
        <v>0.23990000000000003</v>
      </c>
      <c r="C32">
        <f t="shared" si="3"/>
        <v>1.7374007313857676</v>
      </c>
      <c r="D32">
        <f t="shared" si="4"/>
        <v>0.624999735891</v>
      </c>
      <c r="E32">
        <f t="shared" si="4"/>
        <v>1.4476979023250001</v>
      </c>
      <c r="F32">
        <f t="shared" si="4"/>
        <v>1.992070606093</v>
      </c>
      <c r="G32">
        <f t="shared" si="4"/>
        <v>2.1750813203820001</v>
      </c>
    </row>
    <row r="33" spans="2:7">
      <c r="B33" s="3">
        <f t="shared" si="5"/>
        <v>0.27990000000000004</v>
      </c>
      <c r="C33">
        <f t="shared" si="3"/>
        <v>1.9050220199277168</v>
      </c>
      <c r="D33">
        <f t="shared" si="4"/>
        <v>0.62499993486399996</v>
      </c>
      <c r="E33">
        <f t="shared" si="4"/>
        <v>1.4616540234269999</v>
      </c>
      <c r="F33">
        <f t="shared" si="4"/>
        <v>2.0668468333479999</v>
      </c>
      <c r="G33">
        <f t="shared" si="4"/>
        <v>2.290968021386</v>
      </c>
    </row>
    <row r="34" spans="2:7">
      <c r="B34" s="3">
        <f t="shared" si="5"/>
        <v>0.31990000000000002</v>
      </c>
      <c r="C34">
        <f t="shared" si="3"/>
        <v>2.0888151080233897</v>
      </c>
      <c r="D34">
        <f t="shared" si="4"/>
        <v>0.62499998596600004</v>
      </c>
      <c r="E34">
        <f t="shared" si="4"/>
        <v>1.472715543698</v>
      </c>
      <c r="F34">
        <f t="shared" si="4"/>
        <v>2.1387231048770001</v>
      </c>
      <c r="G34">
        <f t="shared" si="4"/>
        <v>2.4095884842699999</v>
      </c>
    </row>
    <row r="35" spans="2:7">
      <c r="B35" s="3">
        <f t="shared" si="5"/>
        <v>0.3599</v>
      </c>
      <c r="C35">
        <f t="shared" si="3"/>
        <v>2.290340221722118</v>
      </c>
      <c r="D35">
        <f t="shared" si="4"/>
        <v>0.62499999739300005</v>
      </c>
      <c r="E35">
        <f t="shared" si="4"/>
        <v>1.481213282968</v>
      </c>
      <c r="F35">
        <f t="shared" si="4"/>
        <v>2.2069408319789998</v>
      </c>
      <c r="G35">
        <f t="shared" si="4"/>
        <v>2.5302089653339999</v>
      </c>
    </row>
    <row r="36" spans="2:7">
      <c r="B36" s="3">
        <f t="shared" si="5"/>
        <v>0.39989999999999998</v>
      </c>
      <c r="C36">
        <f t="shared" si="3"/>
        <v>2.5113081148680503</v>
      </c>
      <c r="D36">
        <f t="shared" si="4"/>
        <v>0.62499999958899999</v>
      </c>
      <c r="E36">
        <f t="shared" si="4"/>
        <v>1.487521832758</v>
      </c>
      <c r="F36">
        <f t="shared" si="4"/>
        <v>2.2707919128279999</v>
      </c>
      <c r="G36">
        <f t="shared" si="4"/>
        <v>2.6519770589639999</v>
      </c>
    </row>
    <row r="37" spans="2:7">
      <c r="B37" s="3">
        <f t="shared" si="5"/>
        <v>0.43989999999999996</v>
      </c>
      <c r="C37">
        <f t="shared" si="3"/>
        <v>2.7535945917502622</v>
      </c>
      <c r="D37">
        <f t="shared" si="4"/>
        <v>0.62499999994599997</v>
      </c>
      <c r="E37">
        <f t="shared" si="4"/>
        <v>1.492032785206</v>
      </c>
      <c r="F37">
        <f t="shared" si="4"/>
        <v>2.3296515048619999</v>
      </c>
      <c r="G37">
        <f t="shared" si="4"/>
        <v>2.7739291593519999</v>
      </c>
    </row>
    <row r="38" spans="2:7">
      <c r="B38" s="3">
        <f t="shared" si="5"/>
        <v>0.47989999999999994</v>
      </c>
      <c r="C38">
        <f t="shared" si="3"/>
        <v>3.0192564308719576</v>
      </c>
      <c r="D38">
        <f t="shared" si="4"/>
        <v>0.624999999995</v>
      </c>
      <c r="E38">
        <f t="shared" si="4"/>
        <v>1.4951284852119999</v>
      </c>
      <c r="F38">
        <f t="shared" si="4"/>
        <v>2.3830104372030001</v>
      </c>
      <c r="G38">
        <f t="shared" si="4"/>
        <v>2.895003857232</v>
      </c>
    </row>
    <row r="39" spans="2:7">
      <c r="B39" s="3">
        <f t="shared" si="5"/>
        <v>0.51989999999999992</v>
      </c>
      <c r="C39">
        <f t="shared" si="3"/>
        <v>3.3105488450161946</v>
      </c>
      <c r="D39">
        <f t="shared" si="4"/>
        <v>0.625</v>
      </c>
      <c r="E39">
        <f t="shared" si="4"/>
        <v>1.497159402624</v>
      </c>
      <c r="F39">
        <f t="shared" si="4"/>
        <v>2.4305045414620001</v>
      </c>
      <c r="G39">
        <f t="shared" si="4"/>
        <v>3.0140621830400001</v>
      </c>
    </row>
    <row r="40" spans="2:7">
      <c r="B40" s="3">
        <f t="shared" si="5"/>
        <v>0.55989999999999995</v>
      </c>
      <c r="C40">
        <f t="shared" si="3"/>
        <v>3.6299446258272616</v>
      </c>
      <c r="D40">
        <f t="shared" si="4"/>
        <v>0.62500000000099998</v>
      </c>
      <c r="E40">
        <f t="shared" si="4"/>
        <v>1.498427629449</v>
      </c>
      <c r="F40">
        <f t="shared" si="4"/>
        <v>2.471937870179</v>
      </c>
      <c r="G40">
        <f t="shared" si="4"/>
        <v>3.1299152870659999</v>
      </c>
    </row>
    <row r="41" spans="2:7">
      <c r="B41" s="3">
        <f t="shared" si="5"/>
        <v>0.59989999999999999</v>
      </c>
      <c r="C41">
        <f t="shared" si="3"/>
        <v>3.9801551354267257</v>
      </c>
      <c r="D41">
        <f t="shared" si="4"/>
        <v>0.62500000000099998</v>
      </c>
      <c r="E41">
        <f t="shared" si="4"/>
        <v>1.499177910247</v>
      </c>
      <c r="F41">
        <f t="shared" si="4"/>
        <v>2.507296796671</v>
      </c>
      <c r="G41">
        <f t="shared" si="4"/>
        <v>3.2413596355709999</v>
      </c>
    </row>
    <row r="42" spans="2:7">
      <c r="B42" s="3">
        <f t="shared" si="5"/>
        <v>0.63990000000000002</v>
      </c>
      <c r="C42">
        <f t="shared" si="3"/>
        <v>4.3641533232627312</v>
      </c>
      <c r="D42">
        <f t="shared" si="4"/>
        <v>0.62500000000099998</v>
      </c>
      <c r="E42">
        <f t="shared" si="4"/>
        <v>1.499596250622</v>
      </c>
      <c r="F42">
        <f t="shared" si="4"/>
        <v>2.536752455212</v>
      </c>
      <c r="G42">
        <f t="shared" si="4"/>
        <v>3.3472191092369998</v>
      </c>
    </row>
    <row r="43" spans="2:7">
      <c r="B43" s="3">
        <f t="shared" si="5"/>
        <v>0.67990000000000006</v>
      </c>
      <c r="C43">
        <f t="shared" si="3"/>
        <v>4.7851989635834054</v>
      </c>
      <c r="D43">
        <f t="shared" si="4"/>
        <v>0.62500000000099998</v>
      </c>
      <c r="E43">
        <f t="shared" si="4"/>
        <v>1.4998148552849999</v>
      </c>
      <c r="F43">
        <f t="shared" si="4"/>
        <v>2.5606499420660001</v>
      </c>
      <c r="G43">
        <f t="shared" si="4"/>
        <v>3.4463925439969998</v>
      </c>
    </row>
    <row r="44" spans="2:7">
      <c r="B44" s="3">
        <f t="shared" si="5"/>
        <v>0.7199000000000001</v>
      </c>
      <c r="C44">
        <f t="shared" si="3"/>
        <v>5.2468663277761713</v>
      </c>
      <c r="D44">
        <f t="shared" si="4"/>
        <v>0.62500000000099998</v>
      </c>
      <c r="E44">
        <f t="shared" si="4"/>
        <v>1.499921251335</v>
      </c>
      <c r="F44">
        <f t="shared" si="4"/>
        <v>2.5794841232649999</v>
      </c>
      <c r="G44">
        <f t="shared" si="4"/>
        <v>3.5379043097720002</v>
      </c>
    </row>
    <row r="45" spans="2:7">
      <c r="B45" s="3">
        <f t="shared" si="5"/>
        <v>0.75990000000000013</v>
      </c>
      <c r="C45">
        <f t="shared" si="3"/>
        <v>5.7530745264844336</v>
      </c>
      <c r="D45">
        <f t="shared" si="4"/>
        <v>0.62500000000099998</v>
      </c>
      <c r="E45">
        <f t="shared" si="4"/>
        <v>1.499969157058</v>
      </c>
      <c r="F45">
        <f t="shared" si="4"/>
        <v>2.5938636349699999</v>
      </c>
      <c r="G45">
        <f t="shared" si="4"/>
        <v>3.6209545740309999</v>
      </c>
    </row>
    <row r="46" spans="2:7">
      <c r="B46" s="3">
        <f t="shared" si="5"/>
        <v>0.79990000000000017</v>
      </c>
      <c r="C46">
        <f t="shared" si="3"/>
        <v>6.3081207790769609</v>
      </c>
      <c r="D46">
        <f t="shared" si="4"/>
        <v>0.62500000000099998</v>
      </c>
      <c r="E46">
        <f t="shared" si="4"/>
        <v>1.4999889644669999</v>
      </c>
      <c r="F46">
        <f t="shared" si="4"/>
        <v>2.6044664455020001</v>
      </c>
      <c r="G46">
        <f t="shared" si="4"/>
        <v>3.6949650832500001</v>
      </c>
    </row>
    <row r="47" spans="2:7">
      <c r="B47" s="3">
        <f t="shared" si="5"/>
        <v>0.8399000000000002</v>
      </c>
      <c r="C47">
        <f t="shared" si="3"/>
        <v>6.9167168928956491</v>
      </c>
      <c r="D47">
        <f t="shared" si="4"/>
        <v>0.62500000000099998</v>
      </c>
      <c r="E47">
        <f t="shared" si="4"/>
        <v>1.4999964242549999</v>
      </c>
      <c r="F47">
        <f t="shared" si="4"/>
        <v>2.6119918139960001</v>
      </c>
      <c r="G47">
        <f t="shared" si="4"/>
        <v>3.7596157926189999</v>
      </c>
    </row>
    <row r="48" spans="2:7">
      <c r="B48" s="3">
        <f t="shared" si="5"/>
        <v>0.87990000000000024</v>
      </c>
      <c r="C48">
        <f t="shared" si="3"/>
        <v>7.5840292619553189</v>
      </c>
      <c r="D48">
        <f t="shared" si="4"/>
        <v>0.62500000000099998</v>
      </c>
      <c r="E48">
        <f t="shared" si="4"/>
        <v>1.4999989607490001</v>
      </c>
      <c r="F48">
        <f t="shared" si="4"/>
        <v>2.6171142538969998</v>
      </c>
      <c r="G48">
        <f t="shared" si="4"/>
        <v>3.8148676749820001</v>
      </c>
    </row>
    <row r="49" spans="2:7">
      <c r="B49" s="3">
        <f t="shared" si="5"/>
        <v>0.91990000000000027</v>
      </c>
      <c r="C49">
        <f t="shared" si="3"/>
        <v>8.3157227246458998</v>
      </c>
      <c r="D49">
        <f t="shared" si="4"/>
        <v>0.62500000000099998</v>
      </c>
      <c r="E49">
        <f t="shared" si="4"/>
        <v>1.4999997318989999</v>
      </c>
      <c r="F49">
        <f t="shared" si="4"/>
        <v>2.620444909653</v>
      </c>
      <c r="G49">
        <f t="shared" si="4"/>
        <v>3.8609677130129998</v>
      </c>
    </row>
    <row r="50" spans="2:7">
      <c r="B50" s="3">
        <f t="shared" si="5"/>
        <v>0.95990000000000031</v>
      </c>
      <c r="C50">
        <f t="shared" si="3"/>
        <v>9.118008652746628</v>
      </c>
      <c r="D50">
        <f t="shared" si="4"/>
        <v>0.62500000000099998</v>
      </c>
      <c r="E50">
        <f t="shared" si="4"/>
        <v>1.499999939312</v>
      </c>
      <c r="F50">
        <f t="shared" si="4"/>
        <v>2.6225045088829999</v>
      </c>
      <c r="G50">
        <f t="shared" si="4"/>
        <v>3.898433517065</v>
      </c>
    </row>
    <row r="51" spans="2:7">
      <c r="B51" s="3">
        <f t="shared" si="5"/>
        <v>0.99990000000000034</v>
      </c>
      <c r="C51">
        <f t="shared" si="3"/>
        <v>9.9976976799815755</v>
      </c>
      <c r="D51">
        <f t="shared" si="4"/>
        <v>0.62500000000099998</v>
      </c>
      <c r="E51">
        <f t="shared" si="4"/>
        <v>1.4999999880979999</v>
      </c>
      <c r="F51">
        <f t="shared" si="4"/>
        <v>2.6237099654090001</v>
      </c>
      <c r="G51">
        <f t="shared" si="4"/>
        <v>3.9280171748799999</v>
      </c>
    </row>
    <row r="52" spans="2:7">
      <c r="B52" s="3">
        <f t="shared" si="5"/>
        <v>1.0399000000000003</v>
      </c>
      <c r="C52">
        <f t="shared" si="3"/>
        <v>10.9622575177311</v>
      </c>
      <c r="D52">
        <f t="shared" si="4"/>
        <v>0.62500000000099998</v>
      </c>
      <c r="E52">
        <f t="shared" si="4"/>
        <v>1.4999999980059999</v>
      </c>
      <c r="F52">
        <f t="shared" si="4"/>
        <v>2.6243742506530001</v>
      </c>
      <c r="G52">
        <f t="shared" si="4"/>
        <v>3.9506506094199998</v>
      </c>
    </row>
    <row r="53" spans="2:7">
      <c r="B53" s="3">
        <f t="shared" si="5"/>
        <v>1.0799000000000003</v>
      </c>
      <c r="C53">
        <f t="shared" si="3"/>
        <v>12.019876348698867</v>
      </c>
      <c r="D53">
        <f t="shared" si="4"/>
        <v>0.62500000000099998</v>
      </c>
      <c r="E53">
        <f t="shared" si="4"/>
        <v>1.49999999972</v>
      </c>
      <c r="F53">
        <f t="shared" si="4"/>
        <v>2.6247169351699999</v>
      </c>
      <c r="G53">
        <f t="shared" si="4"/>
        <v>3.9673774894320002</v>
      </c>
    </row>
    <row r="54" spans="2:7">
      <c r="B54" s="3">
        <f t="shared" si="5"/>
        <v>1.1199000000000003</v>
      </c>
      <c r="C54">
        <f t="shared" si="3"/>
        <v>13.179532336685472</v>
      </c>
      <c r="D54">
        <f t="shared" si="4"/>
        <v>0.62500000000099998</v>
      </c>
      <c r="E54">
        <f t="shared" si="4"/>
        <v>1.4999999999689999</v>
      </c>
      <c r="F54">
        <f t="shared" si="4"/>
        <v>2.6248813867299998</v>
      </c>
      <c r="G54">
        <f t="shared" si="4"/>
        <v>3.979279052006</v>
      </c>
    </row>
    <row r="55" spans="2:7">
      <c r="B55" s="3">
        <f t="shared" si="5"/>
        <v>1.1599000000000004</v>
      </c>
      <c r="C55">
        <f t="shared" si="3"/>
        <v>14.451069842539665</v>
      </c>
      <c r="D55">
        <f t="shared" si="4"/>
        <v>0.62500000000099998</v>
      </c>
      <c r="E55">
        <f t="shared" si="4"/>
        <v>1.499999999998</v>
      </c>
      <c r="F55">
        <f t="shared" si="4"/>
        <v>2.6249542979429998</v>
      </c>
      <c r="G55">
        <f t="shared" si="4"/>
        <v>3.9874024741029999</v>
      </c>
    </row>
    <row r="56" spans="2:7">
      <c r="B56" s="3">
        <f t="shared" si="5"/>
        <v>1.1999000000000004</v>
      </c>
      <c r="C56">
        <f t="shared" si="3"/>
        <v>15.845282993287073</v>
      </c>
      <c r="D56">
        <f t="shared" si="4"/>
        <v>0.62500000000099998</v>
      </c>
      <c r="E56">
        <f t="shared" si="4"/>
        <v>1.5000000000010001</v>
      </c>
      <c r="F56">
        <f t="shared" si="4"/>
        <v>2.6249839388309999</v>
      </c>
      <c r="G56">
        <f t="shared" si="4"/>
        <v>3.9927002227099999</v>
      </c>
    </row>
    <row r="57" spans="2:7">
      <c r="B57" s="3">
        <f t="shared" si="5"/>
        <v>1.2399000000000004</v>
      </c>
      <c r="C57">
        <f t="shared" si="3"/>
        <v>17.3740073138577</v>
      </c>
      <c r="D57">
        <f t="shared" si="4"/>
        <v>0.62500000000099998</v>
      </c>
      <c r="E57">
        <f t="shared" si="4"/>
        <v>1.5000000000010001</v>
      </c>
      <c r="F57">
        <f t="shared" si="4"/>
        <v>2.6249948972760002</v>
      </c>
      <c r="G57">
        <f t="shared" si="4"/>
        <v>3.995986983201</v>
      </c>
    </row>
    <row r="58" spans="2:7">
      <c r="B58" s="3">
        <f t="shared" si="5"/>
        <v>1.2799000000000005</v>
      </c>
      <c r="C58">
        <f t="shared" si="3"/>
        <v>19.050220199277192</v>
      </c>
      <c r="D58">
        <f t="shared" si="4"/>
        <v>0.62500000000099998</v>
      </c>
      <c r="E58">
        <f t="shared" si="4"/>
        <v>1.5000000000010001</v>
      </c>
      <c r="F58">
        <f t="shared" si="4"/>
        <v>2.6249985486140002</v>
      </c>
      <c r="G58">
        <f t="shared" si="4"/>
        <v>3.997917602747</v>
      </c>
    </row>
    <row r="59" spans="2:7">
      <c r="B59" s="3">
        <f t="shared" si="5"/>
        <v>1.3199000000000005</v>
      </c>
      <c r="C59">
        <f t="shared" si="3"/>
        <v>20.888151080233925</v>
      </c>
      <c r="D59">
        <f t="shared" si="4"/>
        <v>0.62500000000099998</v>
      </c>
      <c r="E59">
        <f t="shared" si="4"/>
        <v>1.5000000000010001</v>
      </c>
      <c r="F59">
        <f t="shared" si="4"/>
        <v>2.6249996343349999</v>
      </c>
      <c r="G59">
        <f t="shared" si="4"/>
        <v>3.9989856943730002</v>
      </c>
    </row>
    <row r="60" spans="2:7">
      <c r="B60" s="3">
        <f t="shared" si="5"/>
        <v>1.3599000000000006</v>
      </c>
      <c r="C60">
        <f t="shared" si="3"/>
        <v>22.903402217221217</v>
      </c>
      <c r="D60">
        <f t="shared" si="4"/>
        <v>0.62500000000099998</v>
      </c>
      <c r="E60">
        <f t="shared" si="4"/>
        <v>1.500000000002</v>
      </c>
      <c r="F60">
        <f t="shared" si="4"/>
        <v>2.6249999193479998</v>
      </c>
      <c r="G60">
        <f t="shared" si="4"/>
        <v>3.9995390701810001</v>
      </c>
    </row>
    <row r="61" spans="2:7">
      <c r="B61" s="3">
        <f t="shared" si="5"/>
        <v>1.3999000000000006</v>
      </c>
      <c r="C61">
        <f t="shared" si="3"/>
        <v>25.113081148680546</v>
      </c>
      <c r="D61">
        <f t="shared" si="4"/>
        <v>0.62500000000099998</v>
      </c>
      <c r="E61">
        <f t="shared" si="4"/>
        <v>1.5000000000010001</v>
      </c>
      <c r="F61">
        <f t="shared" si="4"/>
        <v>2.6249999846269998</v>
      </c>
      <c r="G61">
        <f t="shared" si="4"/>
        <v>3.9998058874089999</v>
      </c>
    </row>
    <row r="62" spans="2:7">
      <c r="B62" s="3"/>
    </row>
    <row r="63" spans="2:7">
      <c r="B63" s="3"/>
    </row>
    <row r="64" spans="2:7">
      <c r="B64" s="3"/>
    </row>
    <row r="65" spans="2:2">
      <c r="B65" s="3"/>
    </row>
    <row r="66" spans="2:2">
      <c r="B66" s="3"/>
    </row>
    <row r="67" spans="2:2">
      <c r="B67" s="3"/>
    </row>
    <row r="68" spans="2:2">
      <c r="B68" s="3"/>
    </row>
    <row r="69" spans="2:2">
      <c r="B69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85</vt:i4>
      </vt:variant>
    </vt:vector>
  </HeadingPairs>
  <TitlesOfParts>
    <vt:vector size="91" baseType="lpstr">
      <vt:lpstr>SensChanelWidth</vt:lpstr>
      <vt:lpstr>SensFracLenght</vt:lpstr>
      <vt:lpstr>SensDualPorosity</vt:lpstr>
      <vt:lpstr>SensArea</vt:lpstr>
      <vt:lpstr>SensSkin</vt:lpstr>
      <vt:lpstr>Sheet1</vt:lpstr>
      <vt:lpstr>SensArea!Bo</vt:lpstr>
      <vt:lpstr>SensChanelWidth!Bo</vt:lpstr>
      <vt:lpstr>SensDualPorosity!Bo</vt:lpstr>
      <vt:lpstr>SensFracLenght!Bo</vt:lpstr>
      <vt:lpstr>Bo</vt:lpstr>
      <vt:lpstr>SensArea!Cd</vt:lpstr>
      <vt:lpstr>SensChanelWidth!Cd</vt:lpstr>
      <vt:lpstr>SensDualPorosity!Cd</vt:lpstr>
      <vt:lpstr>SensFracLenght!Cd</vt:lpstr>
      <vt:lpstr>Cd</vt:lpstr>
      <vt:lpstr>SensArea!ct</vt:lpstr>
      <vt:lpstr>SensChanelWidth!ct</vt:lpstr>
      <vt:lpstr>SensDualPorosity!ct</vt:lpstr>
      <vt:lpstr>SensFracLenght!ct</vt:lpstr>
      <vt:lpstr>ct</vt:lpstr>
      <vt:lpstr>SensArea!h</vt:lpstr>
      <vt:lpstr>SensChanelWidth!h</vt:lpstr>
      <vt:lpstr>SensDualPorosity!h</vt:lpstr>
      <vt:lpstr>SensFracLenght!h</vt:lpstr>
      <vt:lpstr>h</vt:lpstr>
      <vt:lpstr>SensArea!k</vt:lpstr>
      <vt:lpstr>SensChanelWidth!k</vt:lpstr>
      <vt:lpstr>SensDualPorosity!k</vt:lpstr>
      <vt:lpstr>SensFracLenght!k</vt:lpstr>
      <vt:lpstr>k</vt:lpstr>
      <vt:lpstr>SensArea!lambda</vt:lpstr>
      <vt:lpstr>SensChanelWidth!lambda</vt:lpstr>
      <vt:lpstr>SensDualPorosity!lambda</vt:lpstr>
      <vt:lpstr>SensFracLenght!lambda</vt:lpstr>
      <vt:lpstr>lambda</vt:lpstr>
      <vt:lpstr>SensArea!nu</vt:lpstr>
      <vt:lpstr>SensChanelWidth!nu</vt:lpstr>
      <vt:lpstr>SensDualPorosity!nu</vt:lpstr>
      <vt:lpstr>SensFracLenght!nu</vt:lpstr>
      <vt:lpstr>nu</vt:lpstr>
      <vt:lpstr>SensArea!omega</vt:lpstr>
      <vt:lpstr>SensChanelWidth!omega</vt:lpstr>
      <vt:lpstr>SensDualPorosity!omega</vt:lpstr>
      <vt:lpstr>SensFracLenght!omega</vt:lpstr>
      <vt:lpstr>omega</vt:lpstr>
      <vt:lpstr>SensArea!phi</vt:lpstr>
      <vt:lpstr>SensChanelWidth!phi</vt:lpstr>
      <vt:lpstr>SensDualPorosity!phi</vt:lpstr>
      <vt:lpstr>SensFracLenght!phi</vt:lpstr>
      <vt:lpstr>phi</vt:lpstr>
      <vt:lpstr>SensArea!Pi</vt:lpstr>
      <vt:lpstr>SensChanelWidth!Pi</vt:lpstr>
      <vt:lpstr>SensDualPorosity!Pi</vt:lpstr>
      <vt:lpstr>SensFracLenght!Pi</vt:lpstr>
      <vt:lpstr>Pi</vt:lpstr>
      <vt:lpstr>SensArea!Pwf</vt:lpstr>
      <vt:lpstr>SensChanelWidth!Pwf</vt:lpstr>
      <vt:lpstr>SensDualPorosity!Pwf</vt:lpstr>
      <vt:lpstr>SensFracLenght!Pwf</vt:lpstr>
      <vt:lpstr>Pwf</vt:lpstr>
      <vt:lpstr>SensArea!Skin</vt:lpstr>
      <vt:lpstr>SensChanelWidth!Skin</vt:lpstr>
      <vt:lpstr>SensDualPorosity!Skin</vt:lpstr>
      <vt:lpstr>SensFracLenght!Skin</vt:lpstr>
      <vt:lpstr>Skin</vt:lpstr>
      <vt:lpstr>SensArea!Xe</vt:lpstr>
      <vt:lpstr>SensChanelWidth!Xe</vt:lpstr>
      <vt:lpstr>SensDualPorosity!Xe</vt:lpstr>
      <vt:lpstr>SensFracLenght!Xe</vt:lpstr>
      <vt:lpstr>Xe</vt:lpstr>
      <vt:lpstr>SensArea!xf</vt:lpstr>
      <vt:lpstr>SensChanelWidth!xf</vt:lpstr>
      <vt:lpstr>SensDualPorosity!xf</vt:lpstr>
      <vt:lpstr>SensFracLenght!xf</vt:lpstr>
      <vt:lpstr>xf</vt:lpstr>
      <vt:lpstr>SensArea!Xw</vt:lpstr>
      <vt:lpstr>SensChanelWidth!Xw</vt:lpstr>
      <vt:lpstr>SensDualPorosity!Xw</vt:lpstr>
      <vt:lpstr>SensFracLenght!Xw</vt:lpstr>
      <vt:lpstr>Xw</vt:lpstr>
      <vt:lpstr>SensArea!Ye</vt:lpstr>
      <vt:lpstr>SensChanelWidth!Ye</vt:lpstr>
      <vt:lpstr>SensDualPorosity!Ye</vt:lpstr>
      <vt:lpstr>SensFracLenght!Ye</vt:lpstr>
      <vt:lpstr>Ye</vt:lpstr>
      <vt:lpstr>SensArea!Yw</vt:lpstr>
      <vt:lpstr>SensChanelWidth!Yw</vt:lpstr>
      <vt:lpstr>SensDualPorosity!Yw</vt:lpstr>
      <vt:lpstr>SensFracLenght!Yw</vt:lpstr>
      <vt:lpstr>Yw</vt:lpstr>
    </vt:vector>
  </TitlesOfParts>
  <Company>OXY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arroyone</dc:creator>
  <cp:lastModifiedBy>arroyone</cp:lastModifiedBy>
  <dcterms:created xsi:type="dcterms:W3CDTF">2013-03-29T06:52:52Z</dcterms:created>
  <dcterms:modified xsi:type="dcterms:W3CDTF">2013-04-27T13:26:18Z</dcterms:modified>
</cp:coreProperties>
</file>